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kcja" sheetId="1" state="visible" r:id="rId3"/>
    <sheet name="Zalozenia" sheetId="2" state="visible" r:id="rId4"/>
    <sheet name="Rynek" sheetId="3" state="visible" r:id="rId5"/>
    <sheet name="Monetyzacja" sheetId="4" state="visible" r:id="rId6"/>
    <sheet name="Scenariusze" sheetId="5" state="visible" r:id="rId7"/>
    <sheet name="Trasy" sheetId="6" state="visible" r:id="rId8"/>
    <sheet name="Zrodl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<sst xmlns="http://schemas.openxmlformats.org/spreadsheetml/2006/main" count="513" uniqueCount="401">
  <si>
    <t xml:space="preserve">Model: aplikacja carpoolingowa dla studentów w Polsce (stan na 6.10.2026)</t>
  </si>
  <si>
    <t xml:space="preserve">Jak używać:</t>
  </si>
  <si>
    <t xml:space="preserve">1. Zmieniaj WYŁĄCZNIE niebieskie liczby (dane wejściowe). Żółte tło = kluczowe założenia, które najmocniej zmieniają wynik.</t>
  </si>
  <si>
    <t xml:space="preserve">2. Czarne liczby to formuły – przeliczają się automatycznie. Zielone = odwołania do innego arkusza.</t>
  </si>
  <si>
    <t xml:space="preserve">3. Kolumna 'Typ' w arkuszu Zalozenia mówi, czy liczba to FAKT (ze źródłem) czy SZACUNEK (moje założenie – zweryfikuj ankietą).</t>
  </si>
  <si>
    <t xml:space="preserve">Arkusze:</t>
  </si>
  <si>
    <t xml:space="preserve">Zalozenia – wszystkie parametry wejściowe ze źródłami.</t>
  </si>
  <si>
    <t xml:space="preserve">Rynek – TAM / SAM / SOM dla Polski i dla korytarza Warszawa–Lublin (wzory widoczne w kolumnie 'Wzór').</t>
  </si>
  <si>
    <t xml:space="preserve">Monetyzacja – 7 modeli przychodu przy 1 000 / 10 000 / 50 000 aktywnych użytkowników.</t>
  </si>
  <si>
    <t xml:space="preserve">Scenariusze – uproszczony rachunek wyników na 3 lata: pesymistyczny / bazowy / optymistyczny + próg rentowności.</t>
  </si>
  <si>
    <t xml:space="preserve">Trasy – porównanie cen i czasów: pociąg (z ulgą 51%), FlixBus, BlaBlaCar, własne auto.</t>
  </si>
  <si>
    <t xml:space="preserve">Zrodla – lista źródeł.</t>
  </si>
  <si>
    <t xml:space="preserve">Przykład: zmień 'Prowizja (opłata serwisowa)' z 12% na 15% w arkuszu Zalozenia i zobacz, jak zmienia się wynik w arkuszu Scenariusze.</t>
  </si>
  <si>
    <t xml:space="preserve">Uwaga: 'aktywny użytkownik' = osoba, która w danym roku odbyła co najmniej 1 przejazd przez aplikację (kierowca lub pasażer).</t>
  </si>
  <si>
    <t xml:space="preserve">Parametr</t>
  </si>
  <si>
    <t xml:space="preserve">Wartość</t>
  </si>
  <si>
    <t xml:space="preserve">Jednostka</t>
  </si>
  <si>
    <t xml:space="preserve">Typ</t>
  </si>
  <si>
    <t xml:space="preserve">Źródło / uzasadnienie</t>
  </si>
  <si>
    <t xml:space="preserve">RYNEK – CAŁA POLSKA</t>
  </si>
  <si>
    <t xml:space="preserve">Liczba studentów w Polsce, rok akad. 2025/26</t>
  </si>
  <si>
    <t xml:space="preserve">osoby</t>
  </si>
  <si>
    <t xml:space="preserve">FAKT</t>
  </si>
  <si>
    <t xml:space="preserve">GUS, 'Szkolnictwo wyższe w roku akademickim 2025/2026' (publ. 15.06.2026); za: prawo.pl, portalsamorzadowy.pl, isr.info.pl</t>
  </si>
  <si>
    <t xml:space="preserve">Studenci-cudzoziemcy (rok 2024/25 – najnowsze znalezione)</t>
  </si>
  <si>
    <t xml:space="preserve">GUS, 'Szkolnictwo wyższe i jego finanse w 2024 r.' (za bankier.pl). Wykluczeni z TAM – rzadko jeżdżą co weekend do domu.</t>
  </si>
  <si>
    <t xml:space="preserve">Odsetek studentów mieszkających poza domem rodzinnym</t>
  </si>
  <si>
    <t xml:space="preserve">%</t>
  </si>
  <si>
    <t xml:space="preserve">SZACUNEK</t>
  </si>
  <si>
    <t xml:space="preserve">EUROSTUDENT VIII (PBS/MNiSW): ok. połowa polskich studentów mieszka z rodzicami; CBRE (za Eurostudent): 41% w domu rodzinnym, 11% w akademikach, ~połowa wynajmuje.</t>
  </si>
  <si>
    <t xml:space="preserve">...z nich: odsetek jeżdżących do domu regularnie (≥1× w miesiącu) między miastami</t>
  </si>
  <si>
    <t xml:space="preserve">Brak publicznych danych o częstotliwości powrotów do domu – ZWERYFIKUJ ANKIETĄ (kluczowe pytanie MVP).</t>
  </si>
  <si>
    <t xml:space="preserve">Przejazdy w jedną stronę na takiego studenta / rok</t>
  </si>
  <si>
    <t xml:space="preserve">przejazdy</t>
  </si>
  <si>
    <t xml:space="preserve">Założenie: ok. 12 powrotów w obie strony rocznie (mieszanka: co tydzień / co 2–4 tygodnie / tylko święta).</t>
  </si>
  <si>
    <t xml:space="preserve">Średnia cena miejsca w carpoolingu (dzielenie kosztów)</t>
  </si>
  <si>
    <t xml:space="preserve">zł</t>
  </si>
  <si>
    <t xml:space="preserve">Na trasach ~170 km musi konkurować z PKP Intercity z ulgą 51% (ok. 25–27 zł) – patrz arkusz Trasy.</t>
  </si>
  <si>
    <t xml:space="preserve">Odsetek regularnie podróżujących otwartych na carpooling</t>
  </si>
  <si>
    <t xml:space="preserve">Brak danych dla studentów. BlaBlaCar deklaruje ~6 mln aktywnych użytkowników w PL (2023, za antyweb.pl) – carpooling jest znany, ale część osób z zasady wybiera pociąg.</t>
  </si>
  <si>
    <t xml:space="preserve">Udział ich podróży realizowanych carpoolingiem</t>
  </si>
  <si>
    <t xml:space="preserve">Nawet chętni część podróży robią pociągiem (pogoda, godziny, brak dopasowania).</t>
  </si>
  <si>
    <t xml:space="preserve">Odsetek kierowców (auto dostępne w mieście studiów)</t>
  </si>
  <si>
    <t xml:space="preserve">Proxy: CBOS (2018) – 21% uczniów i studentów deklarowało posiadanie samochodu (za wynikami wyszukiwania; raport K_113_18).</t>
  </si>
  <si>
    <t xml:space="preserve">Wolne miejsca w aucie na przejazd</t>
  </si>
  <si>
    <t xml:space="preserve">miejsca</t>
  </si>
  <si>
    <t xml:space="preserve">Typowe auto osobowe: kierowca + 3 pasażerów (wygodnie, z bagażem).</t>
  </si>
  <si>
    <t xml:space="preserve">KORYTARZ PILOTAŻOWY: WARSZAWA ↔ LUBLIN</t>
  </si>
  <si>
    <t xml:space="preserve">Studenci w Warszawie (2024/25)</t>
  </si>
  <si>
    <t xml:space="preserve">Knight Frank, 'Prywatne akademiki w Polsce' (na podst. GUS): Warszawa ~257 tys. studentów.</t>
  </si>
  <si>
    <t xml:space="preserve">Odsetek studentów w Warszawie pochodzących z woj. lubelskiego</t>
  </si>
  <si>
    <t xml:space="preserve">Brak opublikowanych danych o pochodzeniu studentów warszawskich uczelni – sprawdź w danych uczelni / POL-on.</t>
  </si>
  <si>
    <t xml:space="preserve">Studenci uczelni w Lublinie (2022/23 – najnowsze znalezione)</t>
  </si>
  <si>
    <t xml:space="preserve">Urząd Statystyczny w Lublinie, 'Szkolnictwo wyższe w województwie lubelskim w roku akademickim 2022/2023'.</t>
  </si>
  <si>
    <t xml:space="preserve">Odsetek studentów w Lublinie pochodzących z Mazowsza</t>
  </si>
  <si>
    <t xml:space="preserve">Brak danych; Lublin w l. 2011–2020 przyjął &gt;220 tys. nowych studentów z całej Polski (lublin.eu).</t>
  </si>
  <si>
    <t xml:space="preserve">Udział osiągalnego rynku korytarza zdobyty w roku 1</t>
  </si>
  <si>
    <t xml:space="preserve">Realistyczny cel pilotażu na jednej trasie.</t>
  </si>
  <si>
    <t xml:space="preserve">MONETYZACJA</t>
  </si>
  <si>
    <t xml:space="preserve">Udział pasażerów wśród aktywnych użytkowników</t>
  </si>
  <si>
    <t xml:space="preserve">Kierowców jest zawsze mniej; w BlaBlaCar PL 81,5% kierowców to mężczyźni, wśród pasażerów przeważają kobiety (za wynikami wyszukiwania).</t>
  </si>
  <si>
    <t xml:space="preserve">Rezerwacje przez aplikację na pasażera / rok</t>
  </si>
  <si>
    <t xml:space="preserve">rezerwacje</t>
  </si>
  <si>
    <t xml:space="preserve">Część podróży i tak odbywa się pociągiem.</t>
  </si>
  <si>
    <t xml:space="preserve">Prowizja (opłata serwisowa) – % ceny miejsca</t>
  </si>
  <si>
    <t xml:space="preserve">BlaBlaCar PL po powrocie opłat: np. 55 zł → 7 zł, 77 zł → 10 zł (~13%) (antyweb.pl); w 2016: ~20% (3 zł min.). FR: 0–30%, typowo 16–22%.</t>
  </si>
  <si>
    <t xml:space="preserve">Operator płatności – prowizja % (karty EOG)</t>
  </si>
  <si>
    <t xml:space="preserve">Stripe Polska: 1,5% + 1 zł dla standardowych kart z EOG (za quasa.io).</t>
  </si>
  <si>
    <t xml:space="preserve">Operator płatności – prowizja % (BLIK)</t>
  </si>
  <si>
    <t xml:space="preserve">Stripe Polska: BLIK 1,6% + 1 zł (za quasa.io).</t>
  </si>
  <si>
    <t xml:space="preserve">Operator płatności – opłata stała za transakcję</t>
  </si>
  <si>
    <t xml:space="preserve">Stripe Polska: +1 zł za transakcję. Przy małych kwotach to zjada większość marży!</t>
  </si>
  <si>
    <t xml:space="preserve">Stała opłata za rezerwację (wariant 2)</t>
  </si>
  <si>
    <t xml:space="preserve">Poziom akceptowalny dla studenta (do zweryfikowania testem).</t>
  </si>
  <si>
    <t xml:space="preserve">Subskrypcja pasażera 'Semestr Pass' – cena za semestr</t>
  </si>
  <si>
    <t xml:space="preserve">Analog: BlaBlaPass w PL (1 zł za 6 mies. w promocji startowej – bankier.pl / wirtualnemedia.pl).</t>
  </si>
  <si>
    <t xml:space="preserve">Konwersja pasażerów na subskrypcję</t>
  </si>
  <si>
    <t xml:space="preserve">Premium dla kierowców – cena miesięczna</t>
  </si>
  <si>
    <t xml:space="preserve">Np. automatyczne publikowanie stałych tras, wyróżnienie, statystyki.</t>
  </si>
  <si>
    <t xml:space="preserve">Konwersja kierowców na premium</t>
  </si>
  <si>
    <t xml:space="preserve">Aktywne miesiące w roku (rok akademicki)</t>
  </si>
  <si>
    <t xml:space="preserve">mies.</t>
  </si>
  <si>
    <t xml:space="preserve">Październik–czerwiec; lipiec–wrzesień to wakacje (studenci w domu).</t>
  </si>
  <si>
    <t xml:space="preserve">Reklamy/partnerstwa marek: przychód na aktywnego użytkownika / rok</t>
  </si>
  <si>
    <t xml:space="preserve">Banki, telekomy, gastronomia dla studentów. Bardzo niepewne.</t>
  </si>
  <si>
    <t xml:space="preserve">Minimalna skala, od której da się sprzedawać reklamy/partnerstwa</t>
  </si>
  <si>
    <t xml:space="preserve">użytk.</t>
  </si>
  <si>
    <t xml:space="preserve">Poniżej tej skali reklamodawcy zwykle nie rozmawiają.</t>
  </si>
  <si>
    <t xml:space="preserve">Roczna licencja dla jednej uczelni (white-label / program dojazdów)</t>
  </si>
  <si>
    <t xml:space="preserve">Model Zimride (licencje dla uczelni i firm). Uczelnie publiczne – zamówienia publiczne, długie decyzje.</t>
  </si>
  <si>
    <t xml:space="preserve">Aktywni użytkownicy przypadający na 1 płacącą uczelnię</t>
  </si>
  <si>
    <t xml:space="preserve">Uczelnia zapłaci dopiero, gdy aplikacja ma realną skalę na jej kampusie.</t>
  </si>
  <si>
    <t xml:space="preserve">Afiliacja (bilety PKP/FlixBus gdy brak przejazdu, ubezpieczenia): przychód / użytkownik / rok</t>
  </si>
  <si>
    <t xml:space="preserve">Pośrednictwo w ubezpieczeniach wymaga zgodności z przepisami o dystrybucji ubezpieczeń.</t>
  </si>
  <si>
    <t xml:space="preserve">KOSZTY</t>
  </si>
  <si>
    <t xml:space="preserve">Kurs USD/PLN</t>
  </si>
  <si>
    <t xml:space="preserve">Zaktualizuj do bieżącego kursu NBP.</t>
  </si>
  <si>
    <t xml:space="preserve">Koszt instalacji (CPI) – Android, Europa</t>
  </si>
  <si>
    <t xml:space="preserve">USD</t>
  </si>
  <si>
    <t xml:space="preserve">mapendo.co, 'Cost per Install 2025' (Europa: Android 1,41 USD, iOS 2,31 USD).</t>
  </si>
  <si>
    <t xml:space="preserve">Koszt instalacji (CPI) – iOS, Europa</t>
  </si>
  <si>
    <t xml:space="preserve">jw.</t>
  </si>
  <si>
    <t xml:space="preserve">Udział iOS wśród instalacji</t>
  </si>
  <si>
    <t xml:space="preserve">Konwersja: instalacja → aktywny użytkownik</t>
  </si>
  <si>
    <t xml:space="preserve">W marketplace'ach dwustronnych wielu instaluje, ale nie znajduje przejazdu.</t>
  </si>
  <si>
    <t xml:space="preserve">Udział użytkowników pozyskanych organicznie (polecenia, ambasadorzy)</t>
  </si>
  <si>
    <t xml:space="preserve">Roczna utrata aktywnych użytkowników (churn)</t>
  </si>
  <si>
    <t xml:space="preserve">Absolwenci odchodzą, sezonowość, przejście na pociąg/BlaBlaCar.</t>
  </si>
  <si>
    <t xml:space="preserve">Serwery i narzędzia – koszt stały / rok</t>
  </si>
  <si>
    <t xml:space="preserve">cenauslug.pl: utrzymanie infrastruktury typowo 150–600 zł/mies.</t>
  </si>
  <si>
    <t xml:space="preserve">Mapy/SMS/infrastruktura – koszt na aktywnego użytkownika / rok</t>
  </si>
  <si>
    <t xml:space="preserve">Obsługa klienta i moderacja – koszt na aktywnego użytkownika / rok</t>
  </si>
  <si>
    <t xml:space="preserve">Konta deweloperskie Apple + Google / rok</t>
  </si>
  <si>
    <t xml:space="preserve">FAKT/SZAC.</t>
  </si>
  <si>
    <t xml:space="preserve">cenauslug.pl: Google Play ok. 100 zł jednorazowo, App Store ok. 400 zł/rok.</t>
  </si>
  <si>
    <t xml:space="preserve">Księgowość (sp. z o.o.) / rok</t>
  </si>
  <si>
    <t xml:space="preserve">Ok. 500 zł/mies.</t>
  </si>
  <si>
    <t xml:space="preserve">Ubezpieczenie OC działalności / cyber / rok</t>
  </si>
  <si>
    <t xml:space="preserve">Do wyceny u brokera; ewentualne NNW dla pasażerów – osobna wycena.</t>
  </si>
  <si>
    <t xml:space="preserve">WARTOŚCI POCHODNE (formuły – nie edytuj)</t>
  </si>
  <si>
    <t xml:space="preserve">Średni koszt instalacji (ważony iOS/Android)</t>
  </si>
  <si>
    <t xml:space="preserve">FORMUŁA</t>
  </si>
  <si>
    <t xml:space="preserve">Koszt pozyskania 1 aktywnego użytkownika z płatnych kampanii (CAC)</t>
  </si>
  <si>
    <t xml:space="preserve">Prowizja netto na 1 rezerwację (po kosztach płatności)</t>
  </si>
  <si>
    <t xml:space="preserve">Prowizja brutto na 1 rezerwację (przed kosztami płatności)</t>
  </si>
  <si>
    <t xml:space="preserve">Pozycja</t>
  </si>
  <si>
    <t xml:space="preserve">Wzór (opis)</t>
  </si>
  <si>
    <t xml:space="preserve">TAM – całkowity rynek (Polska)</t>
  </si>
  <si>
    <t xml:space="preserve">Studenci krajowi</t>
  </si>
  <si>
    <t xml:space="preserve">studenci ogółem − cudzoziemcy</t>
  </si>
  <si>
    <t xml:space="preserve">Mieszkający poza domem rodzinnym</t>
  </si>
  <si>
    <t xml:space="preserve">studenci krajowi × % poza domem</t>
  </si>
  <si>
    <t xml:space="preserve">TAM: regularnie jeżdżący do domu między miastami</t>
  </si>
  <si>
    <t xml:space="preserve">× % regularnie podróżujących</t>
  </si>
  <si>
    <t xml:space="preserve">TAM: przejazdy w jedną stronę / rok</t>
  </si>
  <si>
    <t xml:space="preserve">TAM osoby × przejazdy na osobę</t>
  </si>
  <si>
    <t xml:space="preserve">TAM: wartość tych przejazdów przy cenie carpoolingu (GMV)</t>
  </si>
  <si>
    <t xml:space="preserve">zł / rok</t>
  </si>
  <si>
    <t xml:space="preserve">przejazdy × średnia cena miejsca – teoretyczne maksimum</t>
  </si>
  <si>
    <t xml:space="preserve">Kontrola: przejazdy studentów i doktorantów w PKP Intercity w 2025 r.</t>
  </si>
  <si>
    <t xml:space="preserve">FAKT: PKP Intercity, podsumowanie 2025 (13,7 mln, +17% r/r) – rząd wielkości zgodny z TAM</t>
  </si>
  <si>
    <t xml:space="preserve">SAM – rynek osiągalny (Polska)</t>
  </si>
  <si>
    <t xml:space="preserve">SAM: osoby otwarte na carpooling</t>
  </si>
  <si>
    <t xml:space="preserve">TAM osoby × % otwartych na carpooling</t>
  </si>
  <si>
    <t xml:space="preserve">SAM: przejazdy carpoolingiem / rok</t>
  </si>
  <si>
    <t xml:space="preserve">× przejazdy na osobę × udział carpoolingu</t>
  </si>
  <si>
    <t xml:space="preserve">SAM: GMV / rok</t>
  </si>
  <si>
    <t xml:space="preserve">przejazdy × cena</t>
  </si>
  <si>
    <t xml:space="preserve">SAM: przychód platformy przy 100% udziału (prowizja brutto)</t>
  </si>
  <si>
    <t xml:space="preserve">przejazdy × prowizja brutto – SUFIT przychodów z prowizji w całej Polsce</t>
  </si>
  <si>
    <t xml:space="preserve">SAM: przychód netto po kosztach płatności przy 100% udziału</t>
  </si>
  <si>
    <t xml:space="preserve">przejazdy × prowizja netto</t>
  </si>
  <si>
    <t xml:space="preserve">Kontrola podaży: kierowcy w SAM</t>
  </si>
  <si>
    <t xml:space="preserve">SAM × % kierowców</t>
  </si>
  <si>
    <t xml:space="preserve">Kontrola podaży: oferowane miejsca / rok</t>
  </si>
  <si>
    <t xml:space="preserve">kierowcy × przejazdy × udział carpoolingu × wolne miejsca</t>
  </si>
  <si>
    <t xml:space="preserve">Kontrola popytu: potrzebne miejsca (pasażerowie w SAM)</t>
  </si>
  <si>
    <t xml:space="preserve">(SAM − kierowcy) × przejazdy × udział carpoolingu</t>
  </si>
  <si>
    <t xml:space="preserve">Wskaźnik pokrycia popytu podażą (krajowo)</t>
  </si>
  <si>
    <t xml:space="preserve">x</t>
  </si>
  <si>
    <t xml:space="preserve">&gt;1 = w skali kraju miejsc jest dość; problemem jest dopasowanie trasa+godzina</t>
  </si>
  <si>
    <t xml:space="preserve">SOM – korytarz Warszawa ↔ Lublin (pilotaż)</t>
  </si>
  <si>
    <t xml:space="preserve">Studenci w Warszawie z woj. lubelskiego</t>
  </si>
  <si>
    <t xml:space="preserve">studenci W-wy × % z lubelskiego</t>
  </si>
  <si>
    <t xml:space="preserve">Studenci w Lublinie z Mazowsza</t>
  </si>
  <si>
    <t xml:space="preserve">studenci Lublina × % z Mazowsza</t>
  </si>
  <si>
    <t xml:space="preserve">Studenci powiązani z korytarzem</t>
  </si>
  <si>
    <t xml:space="preserve">suma</t>
  </si>
  <si>
    <t xml:space="preserve">...regularnie podróżujący</t>
  </si>
  <si>
    <t xml:space="preserve">...otwarci na carpooling (rynek osiągalny korytarza)</t>
  </si>
  <si>
    <t xml:space="preserve">× % otwartych</t>
  </si>
  <si>
    <t xml:space="preserve">SOM rok 1 (korytarz)</t>
  </si>
  <si>
    <t xml:space="preserve">aktywni użytk.</t>
  </si>
  <si>
    <t xml:space="preserve">× udział zdobyty w roku 1</t>
  </si>
  <si>
    <t xml:space="preserve">Przejazdy carpoolingiem w korytarzu / rok przy pełnym rynku osiągalnym</t>
  </si>
  <si>
    <t xml:space="preserve">Średnio przejazdów na jeden weekend (35 weekendów akademickich)</t>
  </si>
  <si>
    <t xml:space="preserve">rozkład na ok. 35 weekendów roku akademickiego</t>
  </si>
  <si>
    <t xml:space="preserve">SOM dla całej aplikacji w latach 1–3 – patrz arkusz Scenariusze (wiersz 'Aktywni użytkownicy').</t>
  </si>
  <si>
    <t xml:space="preserve">Model</t>
  </si>
  <si>
    <t xml:space="preserve">Opis</t>
  </si>
  <si>
    <t xml:space="preserve">Założona opłata</t>
  </si>
  <si>
    <t xml:space="preserve">Przychód netto na aktywnego użytk./rok</t>
  </si>
  <si>
    <t xml:space="preserve">1 000 aktywnych</t>
  </si>
  <si>
    <t xml:space="preserve">10 000 aktywnych</t>
  </si>
  <si>
    <t xml:space="preserve">50 000 aktywnych</t>
  </si>
  <si>
    <t xml:space="preserve">Zalety</t>
  </si>
  <si>
    <t xml:space="preserve">Wady</t>
  </si>
  <si>
    <t xml:space="preserve">Skala (aktywni użytkownicy) →</t>
  </si>
  <si>
    <t xml:space="preserve">1. Prowizja od przejazdu (opłata serwisowa pasażera)</t>
  </si>
  <si>
    <t xml:space="preserve">Pasażer płaci w aplikacji cenę miejsca + % opłaty; kierowca dostaje zwrot kosztów. Płatność z góry ogranicza 'no-show'.</t>
  </si>
  <si>
    <t xml:space="preserve">12% ceny miejsca (ok. 3,6 zł przy 30 zł)</t>
  </si>
  <si>
    <t xml:space="preserve">Skaluje się z wolumenem; standard rynku (BlaBlaCar); płatność z góry zmniejsza odwołania.</t>
  </si>
  <si>
    <t xml:space="preserve">Przy niskich cenach studenckich stała opłata operatora (1 zł) zjada ~1/3 marży; studenci uciekają do darmowych grup FB; BlaBlaCar w PL musiał się z opłat wycofać w 2017.</t>
  </si>
  <si>
    <t xml:space="preserve">2. Stała opłata za rezerwację</t>
  </si>
  <si>
    <t xml:space="preserve">Pasażer płaci tylko 2,99 zł online; pieniądze za paliwo – BLIK/gotówka bezpośrednio kierowcy.</t>
  </si>
  <si>
    <t xml:space="preserve">2,99 zł / rezerwacja</t>
  </si>
  <si>
    <t xml:space="preserve">Prosta komunikacja; platforma nie przechowuje pieniędzy kierowców (mniej problemów regulacyjnych z usługami płatniczymi).</t>
  </si>
  <si>
    <t xml:space="preserve">Niski przychód; użytkownicy mogą umawiać się poza aplikacją po pierwszym kontakcie (disintermediation).</t>
  </si>
  <si>
    <t xml:space="preserve">3. Subskrypcja pasażera 'Semestr Pass'</t>
  </si>
  <si>
    <t xml:space="preserve">Brak opłat za rezerwacje w zamian za opłatę semestralną.</t>
  </si>
  <si>
    <t xml:space="preserve">29 zł / semestr, 10% pasażerów</t>
  </si>
  <si>
    <t xml:space="preserve">Przewidywalny przychód; pasuje do rytmu semestrów; jedna płatność = niski koszt transakcyjny.</t>
  </si>
  <si>
    <t xml:space="preserve">Niska konwersja; sezonowość (lato bez przychodu); BlaBlaPass w PL był tylko etapem przejściowym.</t>
  </si>
  <si>
    <t xml:space="preserve">4. Premium dla kierowców</t>
  </si>
  <si>
    <t xml:space="preserve">Stałe trasy publikowane automatycznie, wyróżnienie ogłoszeń, statystyki zwrotów kosztów.</t>
  </si>
  <si>
    <t xml:space="preserve">9,99 zł / mies., 5% kierowców, 9 mies.</t>
  </si>
  <si>
    <t xml:space="preserve">Nie obciąża pasażerów (strona wrażliwa na cenę).</t>
  </si>
  <si>
    <t xml:space="preserve">Kierowcy to strona deficytowa – nie wolno ich zniechęcać; bardzo mały przychód.</t>
  </si>
  <si>
    <t xml:space="preserve">5. Reklamy i partnerstwa marek</t>
  </si>
  <si>
    <t xml:space="preserve">Banki (konta studenckie), telekomy, gastronomia, festiwale – sponsoring tras, kody rabatowe.</t>
  </si>
  <si>
    <t xml:space="preserve">ok. 5 zł / aktywnego użytk. / rok od 5 000 użytk.</t>
  </si>
  <si>
    <t xml:space="preserve">zależy od skali</t>
  </si>
  <si>
    <t xml:space="preserve">Nie obciąża użytkowników; marki chcą docierać do studentów.</t>
  </si>
  <si>
    <t xml:space="preserve">Wymaga skali; reklamy pogarszają UX; przychody nieregularne.</t>
  </si>
  <si>
    <t xml:space="preserve">6. Licencje dla uczelni (B2B2C)</t>
  </si>
  <si>
    <t xml:space="preserve">White-label / program wspólnych dojazdów dla studentów i pracowników (redukcja parkingów, cele klimatyczne).</t>
  </si>
  <si>
    <t xml:space="preserve">15 000 zł / uczelnię / rok; 1 uczelnia na 5 000 użytk.</t>
  </si>
  <si>
    <t xml:space="preserve">Zaufanie (weryfikacja przez uczelnię), kanał dystrybucji; precedens: Politechnika Wrocławska + otodojazd.pl; Zimride w USA.</t>
  </si>
  <si>
    <t xml:space="preserve">Długie decyzje i zamówienia publiczne; małe budżety; Zimride zarabiał na tym za mało i został sprzedany.</t>
  </si>
  <si>
    <t xml:space="preserve">7. Afiliacja i oferty dla firm</t>
  </si>
  <si>
    <t xml:space="preserve">Bilety PKP/FlixBus, gdy brak przejazdu; ubezpieczenia NNW dla kierowców; rabaty na paliwo.</t>
  </si>
  <si>
    <t xml:space="preserve">ok. 2 zł / aktywnego użytk. / rok</t>
  </si>
  <si>
    <t xml:space="preserve">Monetyzuje też nieudane wyszukiwania (zrobił to BlaBlaCar, sprzedając bilety autobusowe i kolejowe).</t>
  </si>
  <si>
    <t xml:space="preserve">Niskie stawki; dystrybucja ubezpieczeń wymaga zgodności z przepisami (IDD).</t>
  </si>
  <si>
    <t xml:space="preserve">Rekomendowany miks na start (2 + 7): opłata stała + afiliacja</t>
  </si>
  <si>
    <t xml:space="preserve">Miks docelowy (1 + 5 + 6 + 7): prowizja + partnerstwa + uczelnie + afiliacja</t>
  </si>
  <si>
    <t xml:space="preserve">Uwaga: modele 1, 2 i 3 to warianty tego samego strumienia (opłata pasażera) – nie sumuj ich ze sobą. Kwoty netto po kosztach operatora płatności, przed kosztami firmy.</t>
  </si>
  <si>
    <t xml:space="preserve">Uproszczony rachunek wyników na 3 lata (zł). Niebieskie = założenia scenariusza (edytuj).</t>
  </si>
  <si>
    <t xml:space="preserve">Pes. R1</t>
  </si>
  <si>
    <t xml:space="preserve">Pes. R2</t>
  </si>
  <si>
    <t xml:space="preserve">Pes. R3</t>
  </si>
  <si>
    <t xml:space="preserve">Baz. R1</t>
  </si>
  <si>
    <t xml:space="preserve">Baz. R2</t>
  </si>
  <si>
    <t xml:space="preserve">Baz. R3</t>
  </si>
  <si>
    <t xml:space="preserve">Opt. R1</t>
  </si>
  <si>
    <t xml:space="preserve">Opt. R2</t>
  </si>
  <si>
    <t xml:space="preserve">Opt. R3</t>
  </si>
  <si>
    <t xml:space="preserve">Aktywni użytkownicy (SOM)</t>
  </si>
  <si>
    <t xml:space="preserve">Pobieramy opłatę od pasażerów? (1=tak, 0=nie – darmowy start)</t>
  </si>
  <si>
    <t xml:space="preserve">Rozwój aplikacji (no-code/freelancer/software house)</t>
  </si>
  <si>
    <t xml:space="preserve">Program ambasadorów i eventy</t>
  </si>
  <si>
    <t xml:space="preserve">Prawnik (regulamin, RODO, opinia transport/podatki)</t>
  </si>
  <si>
    <t xml:space="preserve">Wynagrodzenia zespołu (koszt pracodawcy)</t>
  </si>
  <si>
    <t xml:space="preserve">WOLUMEN</t>
  </si>
  <si>
    <t xml:space="preserve">Nowi aktywni użytkownicy</t>
  </si>
  <si>
    <t xml:space="preserve">Rezerwacje pasażerów</t>
  </si>
  <si>
    <t xml:space="preserve">Wartość przejazdów (GMV)</t>
  </si>
  <si>
    <t xml:space="preserve">PRZYCHODY (netto po kosztach płatności)</t>
  </si>
  <si>
    <t xml:space="preserve">Prowizja od przejazdów</t>
  </si>
  <si>
    <t xml:space="preserve">Reklamy i partnerstwa</t>
  </si>
  <si>
    <t xml:space="preserve">Licencje dla uczelni</t>
  </si>
  <si>
    <t xml:space="preserve">Afiliacja</t>
  </si>
  <si>
    <t xml:space="preserve">PRZYCHODY RAZEM</t>
  </si>
  <si>
    <t xml:space="preserve">Rozwój aplikacji</t>
  </si>
  <si>
    <t xml:space="preserve">Marketing płatny (nowi × (1 − organiczni) × CAC)</t>
  </si>
  <si>
    <t xml:space="preserve">Ambasadorzy i eventy</t>
  </si>
  <si>
    <t xml:space="preserve">Prawnik</t>
  </si>
  <si>
    <t xml:space="preserve">Księgowość</t>
  </si>
  <si>
    <t xml:space="preserve">Serwery, mapy, SMS, konta deweloperskie</t>
  </si>
  <si>
    <t xml:space="preserve">Ubezpieczenie</t>
  </si>
  <si>
    <t xml:space="preserve">Obsługa klienta i moderacja</t>
  </si>
  <si>
    <t xml:space="preserve">Wynagrodzenia</t>
  </si>
  <si>
    <t xml:space="preserve">KOSZTY RAZEM</t>
  </si>
  <si>
    <t xml:space="preserve">WYNIK</t>
  </si>
  <si>
    <t xml:space="preserve">Wynik roczny (przychody − koszty)</t>
  </si>
  <si>
    <t xml:space="preserve">Wynik skumulowany (potrzebne finansowanie, jeśli ujemny)</t>
  </si>
  <si>
    <t xml:space="preserve">Przychód / koszty</t>
  </si>
  <si>
    <t xml:space="preserve">PRÓG RENTOWNOŚCI (przy kosztach stałych danego roku)</t>
  </si>
  <si>
    <t xml:space="preserve">Koszty stałe (rozwój, ambasadorzy, prawnik, księgowość, serwery, ubezpieczenie, wynagrodzenia)</t>
  </si>
  <si>
    <t xml:space="preserve">Przychód na aktywnego użytkownika przy pełnej monetyzacji (prowizja + reklamy + uczelnie + afiliacja)</t>
  </si>
  <si>
    <t xml:space="preserve">Koszt zmienny na użytkownika (infrastruktura + obsługa + odtworzenie churnu przez marketing)</t>
  </si>
  <si>
    <t xml:space="preserve">Próg rentowności: potrzebni aktywni użytkownicy</t>
  </si>
  <si>
    <t xml:space="preserve">Próg rentowności jako % krajowego SAM</t>
  </si>
  <si>
    <t xml:space="preserve">Interpretacja: jeśli próg rentowności przekracza kilkanaście–kilkadziesiąt % krajowego SAM, biznes jest rentowny tylko przy dominacji rynku, której BlaBlaCar (ok. 6 mln aktywnych użytkowników w PL) nie odda bez walki.</t>
  </si>
  <si>
    <t xml:space="preserve">Porównanie tras studenckich (ceny z różnych dat 2025–2026; sprawdź aktualne w KOLEO/FlixBus/BlaBlaCar)</t>
  </si>
  <si>
    <t xml:space="preserve">Spalanie auta (l/100 km)</t>
  </si>
  <si>
    <t xml:space="preserve">SZACUNEK – typowe auto kompaktowe na trasie</t>
  </si>
  <si>
    <t xml:space="preserve">Cena Pb95 (zł/l)</t>
  </si>
  <si>
    <t xml:space="preserve">FAKT: cena maksymalna Pb95 w rządowym programie CPN na 6.10.2026 (tvp.info, interia.pl)</t>
  </si>
  <si>
    <t xml:space="preserve">Ulga studencka (ustawowa, do 26 lat)</t>
  </si>
  <si>
    <t xml:space="preserve">FAKT: 51% w PKP Intercity (2 kl.) i pociągach regionalnych (intercity.pl)</t>
  </si>
  <si>
    <t xml:space="preserve">Trasa</t>
  </si>
  <si>
    <t xml:space="preserve">Dystans drogowy (km, ok.)</t>
  </si>
  <si>
    <t xml:space="preserve">Pociąg: najszybszy czas</t>
  </si>
  <si>
    <t xml:space="preserve">Pociąg: bilet normalny 2 kl. od (zł)</t>
  </si>
  <si>
    <t xml:space="preserve">Pociąg: bilet studencki −51% (zł)</t>
  </si>
  <si>
    <t xml:space="preserve">FlixBus: czas</t>
  </si>
  <si>
    <t xml:space="preserve">FlixBus: cena od</t>
  </si>
  <si>
    <t xml:space="preserve">BlaBlaCar: cena (SZACUNEK)</t>
  </si>
  <si>
    <t xml:space="preserve">Paliwo za auto (zł)</t>
  </si>
  <si>
    <t xml:space="preserve">Paliwo na osobę przy 4 os. (zł)</t>
  </si>
  <si>
    <t xml:space="preserve">Źródła / uwagi</t>
  </si>
  <si>
    <t xml:space="preserve">Warszawa – Lublin</t>
  </si>
  <si>
    <t xml:space="preserve">1 h 52 min (IC, po modernizacji linii 7)</t>
  </si>
  <si>
    <t xml:space="preserve">ok. 1 h 55 – 2 h 35</t>
  </si>
  <si>
    <t xml:space="preserve">5,99 €</t>
  </si>
  <si>
    <t xml:space="preserve">szac. 25–35 zł + opłata serwisowa</t>
  </si>
  <si>
    <t xml:space="preserve">Pociąg: jawnylublin.pl / europodroze.pl (51–54 zł, 1:52–2:40). FlixBus: global.flixbus.com, omio. Dystans: szacunek (S17).</t>
  </si>
  <si>
    <t xml:space="preserve">Kraków – Rzeszów</t>
  </si>
  <si>
    <t xml:space="preserve">1 h 14 – 1 h 19 (EIP / IC Przemyślanin)</t>
  </si>
  <si>
    <t xml:space="preserve">ok. 2 h</t>
  </si>
  <si>
    <t xml:space="preserve">9,48 USD</t>
  </si>
  <si>
    <t xml:space="preserve">Pociąg: europodroze.pl (IC od 55 zł, EIP od 105 zł). FlixBus: flixbus.com. Dystans: szacunek (A4).</t>
  </si>
  <si>
    <t xml:space="preserve">Wrocław – Opole</t>
  </si>
  <si>
    <t xml:space="preserve">38 min (EC Danubius)</t>
  </si>
  <si>
    <t xml:space="preserve">ok. 1 h 15</t>
  </si>
  <si>
    <t xml:space="preserve">3,49 €</t>
  </si>
  <si>
    <t xml:space="preserve">szac. 15–20 zł + opłata</t>
  </si>
  <si>
    <t xml:space="preserve">Pociąg: europodroze.pl (EC/TLK/IC od 33 zł; regionalne taniej). FlixBus: flixbus.com. Dystans: szacunek (A4).</t>
  </si>
  <si>
    <t xml:space="preserve">BlaBlaCar – brak oficjalnych cenników tras; szacunek proporcjonalny do danych antyweb.pl dla Warszawa–Kraków (30–50 zł, średnio 40 zł). Agregator checkmybus podaje dla relacji Lublin–Warszawa i Kraków–Rzeszów ok. 13–19 USD.</t>
  </si>
  <si>
    <t xml:space="preserve">Wniosek: na trasach ~165–170 km student płaci za IC ok. 25–27 zł, a sam koszt paliwa na osobę (4 os.) to ok. 19 zł. Przestrzeń na opłatę platformy jest bardzo mała; na trasie Wrocław–Opole (38 min pociągiem) carpooling praktycznie nie ma przewagi.</t>
  </si>
  <si>
    <t xml:space="preserve">Źródło</t>
  </si>
  <si>
    <t xml:space="preserve">Link</t>
  </si>
  <si>
    <t xml:space="preserve">GUS: Szkolnictwo wyższe w roku akademickim 2025/2026 (15.06.2026)</t>
  </si>
  <si>
    <t xml:space="preserve">https://stat.gov.pl/obszary-tematyczne/edukacja/edukacja/szkolnictwo-wyzsze-w-roku-akademickim-20252026,8,12.html</t>
  </si>
  <si>
    <t xml:space="preserve">prawo.pl: Liczba studentów w roku akademickim 2025/26 – GUS</t>
  </si>
  <si>
    <t xml:space="preserve">https://www.prawo.pl/szkoly-i-uczelnie/liczba-studentow-w-polsce-w-roku-akademickim-2025-26-gus,1546639.html</t>
  </si>
  <si>
    <t xml:space="preserve">ISR: Studenci lgną do czterech województw (2025/26 wg województw)</t>
  </si>
  <si>
    <t xml:space="preserve">https://www.isr.info.pl/studenci-lgna-do-czterech-wojewodztw/</t>
  </si>
  <si>
    <t xml:space="preserve">bankier.pl: Ponad 1,28 mln studentów (GUS 2024/25, cudzoziemcy)</t>
  </si>
  <si>
    <t xml:space="preserve">https://www.bankier.pl/wiadomosc/Ponad-1-28-mln-studentow-w-Polsce-kobiety-wciaz-przewazaja-9032593.html</t>
  </si>
  <si>
    <t xml:space="preserve">Knight Frank: Prywatne akademiki w Polsce (studenci wg miast)</t>
  </si>
  <si>
    <t xml:space="preserve">https://content.knightfrank.com/research/2849/documents/pl/prywatne-akademiki-w-polsce-2025-12323.pdf</t>
  </si>
  <si>
    <t xml:space="preserve">US Lublin: Szkolnictwo wyższe w woj. lubelskim 2022/23</t>
  </si>
  <si>
    <t xml:space="preserve">https://lublin.stat.gov.pl/opracowania-biezace/opracowania-sygnalne/edukacja/szkolnictwo-wyzsze-w-wojewodztwie-lubelskim-w-roku-akademickim-20222023,1,9.html</t>
  </si>
  <si>
    <t xml:space="preserve">PBS: EUROSTUDENT VIII</t>
  </si>
  <si>
    <t xml:space="preserve">https://pbs.pl/jak-sie-zyje-i-studiuje-w-polsce-eurostudent-viii/</t>
  </si>
  <si>
    <t xml:space="preserve">CBRE: W akademikach mieszka co dziesiąty student</t>
  </si>
  <si>
    <t xml:space="preserve">https://biuroprasowe.cbre.pl/97638-w-akademikach-mieszka-co-dziesiaty-student-powod-jest-prosty-tyle-jest-miejsc</t>
  </si>
  <si>
    <t xml:space="preserve">CBOS: Zachowania kierowców... (2018)</t>
  </si>
  <si>
    <t xml:space="preserve">https://www.cbos.pl/SPISKOM.POL/2018/K_113_18.PDF</t>
  </si>
  <si>
    <t xml:space="preserve">PKP Intercity: podróże koleją w 2025 roku</t>
  </si>
  <si>
    <t xml:space="preserve">https://www.intercity.pl/pl/site/o-nas/dzial-prasowy/aktualnosci/pkp-intercity:-podroze-koleja-w-2025-roku.html</t>
  </si>
  <si>
    <t xml:space="preserve">PKP Intercity: ulgi ustawowe</t>
  </si>
  <si>
    <t xml:space="preserve">https://www.intercity.pl/pl/site/dla-pasazera/kup-bilet/przepisy-i-taryfy/ulgi/ulgi-ustawowe/</t>
  </si>
  <si>
    <t xml:space="preserve">Jawny Lublin: PKP Intercity Lublin–Warszawa</t>
  </si>
  <si>
    <t xml:space="preserve">https://jawnylublin.pl/pkp-intercity-majstruje-przy-pociagach-lublin-warszawa-drogie-eic-zamiast-tanszych-ic/</t>
  </si>
  <si>
    <t xml:space="preserve">EuroPodróże: Rzeszów–Kraków</t>
  </si>
  <si>
    <t xml:space="preserve">https://www.europodroze.pl/rozklad-jazdy/rzeszow/krakow</t>
  </si>
  <si>
    <t xml:space="preserve">EuroPodróże: Wrocław–Opole</t>
  </si>
  <si>
    <t xml:space="preserve">https://www.europodroze.pl/rozklad-jazdy/wroclaw/opole</t>
  </si>
  <si>
    <t xml:space="preserve">FlixBus: Warszawa–Lublin</t>
  </si>
  <si>
    <t xml:space="preserve">https://global.flixbus.com/bus-routes/bus-warsaw-lublin</t>
  </si>
  <si>
    <t xml:space="preserve">FlixBus: Kraków–Rzeszów</t>
  </si>
  <si>
    <t xml:space="preserve">https://www.flixbus.com/bus-routes/bus-krakow-rzeszow</t>
  </si>
  <si>
    <t xml:space="preserve">FlixBus: Wrocław–Opole</t>
  </si>
  <si>
    <t xml:space="preserve">https://global.flixbus.com/bus-routes/bus-wroclaw-opole</t>
  </si>
  <si>
    <t xml:space="preserve">checkmybus: Lublin–Warszawa (BlaBlaCar, szacunek agregatora)</t>
  </si>
  <si>
    <t xml:space="preserve">https://www.checkmybus.com/travel/lublin/warsaw-airport</t>
  </si>
  <si>
    <t xml:space="preserve">antyweb.pl: koszt wyjazdu na święta (BlaBlaCar Warszawa–Kraków 30–50 zł)</t>
  </si>
  <si>
    <t xml:space="preserve">https://antyweb.pl/koszt-wyjazdu-na-swieta</t>
  </si>
  <si>
    <t xml:space="preserve">TVP Info: cena paliwa 6.10.2026</t>
  </si>
  <si>
    <t xml:space="preserve">https://www.tvp.info/95762118/cena-paliwa-wtorek-6-pazdziernika-2026-benzyna-95-benzyna-98-diesel</t>
  </si>
  <si>
    <t xml:space="preserve">BlaBlaCar newsroom: finansowanie i rentowność (04.2024)</t>
  </si>
  <si>
    <t xml:space="preserve">https://newsroom.blablacar.com/news/blablacar-closes-financing-round-to-fuel-its-growth-ambitions</t>
  </si>
  <si>
    <t xml:space="preserve">TechCrunch: BlaBlaCar profitability, $108M debt line (04.2024)</t>
  </si>
  <si>
    <t xml:space="preserve">https://techcrunch.com/2024/04/02/after-reaching-profitability-carpooling-platform-blablacar-secures-108-million-debt-line</t>
  </si>
  <si>
    <t xml:space="preserve">newmobility.news: BlaBlaCar zamyka dział autobusowy we Francji (04.2026)</t>
  </si>
  <si>
    <t xml:space="preserve">https://newmobility.news/en/2026/04/22/blablacar-is-shutting-down-its-bus-division-in-france/</t>
  </si>
  <si>
    <t xml:space="preserve">antyweb.pl: BlaBlaCar wyniki 2023 (Polska ~6 mln aktywnych)</t>
  </si>
  <si>
    <t xml:space="preserve">https://antyweb.pl/blablacar-wyniki-2023</t>
  </si>
  <si>
    <t xml:space="preserve">bankier.pl: BlaBlaCar wprowadza opłaty (09.03.2016)</t>
  </si>
  <si>
    <t xml:space="preserve">https://www.bankier.pl/wiadomosc/BlaBlaCar-wprowadza-oplaty-za-przejazdy-Rozwoj-kosztuje-7336289.html</t>
  </si>
  <si>
    <t xml:space="preserve">wirtualnemedia.pl: BlaBlaCar wycofuje opłaty, BlaBlaPass</t>
  </si>
  <si>
    <t xml:space="preserve">https://www.wirtualnemedia.pl/m/artykul/blablacar-oplata-za-rezerwacje-wycofana-teraz-blablapass</t>
  </si>
  <si>
    <t xml:space="preserve">antyweb.pl: opłata serwisowa BlaBlaCar (powrót opłat)</t>
  </si>
  <si>
    <t xml:space="preserve">https://antyweb.pl/oplata-serwisowa-blablacar</t>
  </si>
  <si>
    <t xml:space="preserve">rp.pl: Yanosik rzuca wyzwanie BlaBlaCar</t>
  </si>
  <si>
    <t xml:space="preserve">https://www.rp.pl/transport/art3521781-yanosik-rzuca-wyzwanie-blablacar</t>
  </si>
  <si>
    <t xml:space="preserve">antyweb.pl: oferty wspólnych przejazdów na Facebooku (Podróż Grupowa)</t>
  </si>
  <si>
    <t xml:space="preserve">https://antyweb.pl/oferty-wspolnych-przejazdow-na-facebooku</t>
  </si>
  <si>
    <t xml:space="preserve">wroclaw.pl: otodojazd.pl (Politechnika Wrocławska)</t>
  </si>
  <si>
    <t xml:space="preserve">https://www.wroclaw.pl/otodojazdpl</t>
  </si>
  <si>
    <t xml:space="preserve">Wikipedia: Zimride</t>
  </si>
  <si>
    <t xml:space="preserve">https://en.wikipedia.org/wiki/Zimride</t>
  </si>
  <si>
    <t xml:space="preserve">9to5google: Waze Carpool shut down (08.2022)</t>
  </si>
  <si>
    <t xml:space="preserve">https://9to5google.com/2022/08/25/waze-carpool-shut-down/</t>
  </si>
  <si>
    <t xml:space="preserve">CNN: Uber restarting shared rides (06.2022)</t>
  </si>
  <si>
    <t xml:space="preserve">https://edition.cnn.com/2022/06/21/tech/uber-restarting-shared-rides</t>
  </si>
  <si>
    <t xml:space="preserve">Fortune: Lyft acquires Hitch (10.2014)</t>
  </si>
  <si>
    <t xml:space="preserve">https://fortune.com/2014/10/15/hitch-lyft-acquisition</t>
  </si>
  <si>
    <t xml:space="preserve">layoffs.fyi: Scoop layoffs 2020</t>
  </si>
  <si>
    <t xml:space="preserve">https://layoffs.fyi/2020/12/02/scoop-conducts-second-layoff-of-2020/</t>
  </si>
  <si>
    <t xml:space="preserve">Poparide (App Store)</t>
  </si>
  <si>
    <t xml:space="preserve">https://apps.apple.com/app/poparide/id1045332129</t>
  </si>
  <si>
    <t xml:space="preserve">Wikipedia: PolskiBus</t>
  </si>
  <si>
    <t xml:space="preserve">https://en.wikipedia.org/wiki/PolskiBus</t>
  </si>
  <si>
    <t xml:space="preserve">bankier.pl: Kierowca BlaBlaCar nie płaci podatków</t>
  </si>
  <si>
    <t xml:space="preserve">https://www.bankier.pl/wiadomosc/Kierowca-BlaBlaCar-nie-placi-podatkow-i-nie-jest-przedsiebiorca-3723204.html</t>
  </si>
  <si>
    <t xml:space="preserve">mubi.pl: Carpooling a ubezpieczenie</t>
  </si>
  <si>
    <t xml:space="preserve">https://mubi.pl/poradniki/carpooling-a-ubezpieczenie/</t>
  </si>
  <si>
    <t xml:space="preserve">prawodrogowe.pl: pośrednik przy przewozie osób tylko z licencją</t>
  </si>
  <si>
    <t xml:space="preserve">https://www.prawodrogowe.pl/informacje/kronika-legislacyjna/od-dzis-posrednik-organizujacy-przewoz-osob-tylko-z-licencja</t>
  </si>
  <si>
    <t xml:space="preserve">quasa.io: Stripe czy PayU (opłaty)</t>
  </si>
  <si>
    <t xml:space="preserve">https://quasa.io/pl/media/stripe-czy-payu-stala-zlotowka-boli-najbardziej-przy-malym-koszyku</t>
  </si>
  <si>
    <t xml:space="preserve">mapendo: Cost per Install 2025</t>
  </si>
  <si>
    <t xml:space="preserve">https://mapendo.co/blog/cost-per-install-by-country-2025</t>
  </si>
  <si>
    <t xml:space="preserve">netguru: koszt tworzenia aplikacji mobilnej 2026</t>
  </si>
  <si>
    <t xml:space="preserve">https://www.netguru.com/pl/blog/koszt-tworzenia-aplikacji-mobilnej</t>
  </si>
  <si>
    <t xml:space="preserve">cenauslug.pl: koszt stworzenia aplikacji mobilnej 2026</t>
  </si>
  <si>
    <t xml:space="preserve">https://cenauslug.pl/poradniki/koszt-stworzenia-aplikacji-mobilnej-analiza-ux-design-i-dev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</si>
</sst>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0.0%;\(0.0%\);\-"/>
    <numFmt numFmtId="167" formatCode="#,##0&quot; zł&quot;;\(#,##0&quot; zł)&quot;;\-"/>
    <numFmt numFmtId="168" formatCode="#,##0.00&quot; zł&quot;;\(#,##0.00&quot; zł)&quot;;\-"/>
    <numFmt numFmtId="169" formatCode="0.00"/>
    <numFmt numFmtId="170" formatCode="0.00\x"/>
    <numFmt numFmtId="171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26.8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26.8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26.85" hidden="false" customHeight="false" outlineLevel="0" collapsed="false">
      <c r="A16" s="2" t="s">
        <v>12</v>
      </c>
    </row>
    <row r="17" customFormat="false" ht="26.85" hidden="false" customHeight="false" outlineLevel="0" collapsed="false">
      <c r="A1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95"/>
  </cols>
  <sheetData>
    <row r="1" customFormat="false" ht="15" hidden="false" customHeight="fals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</row>
    <row r="2" customFormat="false" ht="15" hidden="false" customHeight="false" outlineLevel="0" collapsed="false">
      <c r="A2" s="5" t="s">
        <v>19</v>
      </c>
      <c r="B2" s="6"/>
      <c r="C2" s="6"/>
      <c r="D2" s="6"/>
      <c r="E2" s="6"/>
    </row>
    <row r="3" customFormat="false" ht="26.85" hidden="false" customHeight="false" outlineLevel="0" collapsed="false">
      <c r="A3" s="7" t="s">
        <v>20</v>
      </c>
      <c r="B3" s="8" t="n">
        <v>1322841</v>
      </c>
      <c r="C3" s="9" t="s">
        <v>21</v>
      </c>
      <c r="D3" s="9" t="s">
        <v>22</v>
      </c>
      <c r="E3" s="7" t="s">
        <v>23</v>
      </c>
    </row>
    <row r="4" customFormat="false" ht="26.85" hidden="false" customHeight="false" outlineLevel="0" collapsed="false">
      <c r="A4" s="7" t="s">
        <v>24</v>
      </c>
      <c r="B4" s="8" t="n">
        <v>108600</v>
      </c>
      <c r="C4" s="9" t="s">
        <v>21</v>
      </c>
      <c r="D4" s="9" t="s">
        <v>22</v>
      </c>
      <c r="E4" s="7" t="s">
        <v>25</v>
      </c>
    </row>
    <row r="5" customFormat="false" ht="26.85" hidden="false" customHeight="false" outlineLevel="0" collapsed="false">
      <c r="A5" s="7" t="s">
        <v>26</v>
      </c>
      <c r="B5" s="10" t="n">
        <v>0.5</v>
      </c>
      <c r="C5" s="9" t="s">
        <v>27</v>
      </c>
      <c r="D5" s="9" t="s">
        <v>28</v>
      </c>
      <c r="E5" s="7" t="s">
        <v>29</v>
      </c>
    </row>
    <row r="6" customFormat="false" ht="26.85" hidden="false" customHeight="false" outlineLevel="0" collapsed="false">
      <c r="A6" s="7" t="s">
        <v>30</v>
      </c>
      <c r="B6" s="10" t="n">
        <v>0.6</v>
      </c>
      <c r="C6" s="9" t="s">
        <v>27</v>
      </c>
      <c r="D6" s="9" t="s">
        <v>28</v>
      </c>
      <c r="E6" s="7" t="s">
        <v>31</v>
      </c>
    </row>
    <row r="7" customFormat="false" ht="26.85" hidden="false" customHeight="false" outlineLevel="0" collapsed="false">
      <c r="A7" s="7" t="s">
        <v>32</v>
      </c>
      <c r="B7" s="11" t="n">
        <v>24</v>
      </c>
      <c r="C7" s="9" t="s">
        <v>33</v>
      </c>
      <c r="D7" s="9" t="s">
        <v>28</v>
      </c>
      <c r="E7" s="7" t="s">
        <v>34</v>
      </c>
    </row>
    <row r="8" customFormat="false" ht="15" hidden="false" customHeight="false" outlineLevel="0" collapsed="false">
      <c r="A8" s="7" t="s">
        <v>35</v>
      </c>
      <c r="B8" s="12" t="n">
        <v>30</v>
      </c>
      <c r="C8" s="9" t="s">
        <v>36</v>
      </c>
      <c r="D8" s="9" t="s">
        <v>28</v>
      </c>
      <c r="E8" s="7" t="s">
        <v>37</v>
      </c>
    </row>
    <row r="9" customFormat="false" ht="26.85" hidden="false" customHeight="false" outlineLevel="0" collapsed="false">
      <c r="A9" s="7" t="s">
        <v>38</v>
      </c>
      <c r="B9" s="10" t="n">
        <v>0.35</v>
      </c>
      <c r="C9" s="9" t="s">
        <v>27</v>
      </c>
      <c r="D9" s="9" t="s">
        <v>28</v>
      </c>
      <c r="E9" s="7" t="s">
        <v>39</v>
      </c>
    </row>
    <row r="10" customFormat="false" ht="15" hidden="false" customHeight="false" outlineLevel="0" collapsed="false">
      <c r="A10" s="7" t="s">
        <v>40</v>
      </c>
      <c r="B10" s="10" t="n">
        <v>0.4</v>
      </c>
      <c r="C10" s="9" t="s">
        <v>27</v>
      </c>
      <c r="D10" s="9" t="s">
        <v>28</v>
      </c>
      <c r="E10" s="7" t="s">
        <v>41</v>
      </c>
    </row>
    <row r="11" customFormat="false" ht="26.85" hidden="false" customHeight="false" outlineLevel="0" collapsed="false">
      <c r="A11" s="7" t="s">
        <v>42</v>
      </c>
      <c r="B11" s="13" t="n">
        <v>0.2</v>
      </c>
      <c r="C11" s="9" t="s">
        <v>27</v>
      </c>
      <c r="D11" s="9" t="s">
        <v>28</v>
      </c>
      <c r="E11" s="7" t="s">
        <v>43</v>
      </c>
    </row>
    <row r="12" customFormat="false" ht="15" hidden="false" customHeight="false" outlineLevel="0" collapsed="false">
      <c r="A12" s="7" t="s">
        <v>44</v>
      </c>
      <c r="B12" s="8" t="n">
        <v>3</v>
      </c>
      <c r="C12" s="9" t="s">
        <v>45</v>
      </c>
      <c r="D12" s="9" t="s">
        <v>28</v>
      </c>
      <c r="E12" s="7" t="s">
        <v>46</v>
      </c>
    </row>
    <row r="13" customFormat="false" ht="15" hidden="false" customHeight="false" outlineLevel="0" collapsed="false">
      <c r="A13" s="5" t="s">
        <v>47</v>
      </c>
      <c r="B13" s="6"/>
      <c r="C13" s="6"/>
      <c r="D13" s="6"/>
      <c r="E13" s="6"/>
    </row>
    <row r="14" customFormat="false" ht="15" hidden="false" customHeight="false" outlineLevel="0" collapsed="false">
      <c r="A14" s="7" t="s">
        <v>48</v>
      </c>
      <c r="B14" s="8" t="n">
        <v>257000</v>
      </c>
      <c r="C14" s="9" t="s">
        <v>21</v>
      </c>
      <c r="D14" s="9" t="s">
        <v>22</v>
      </c>
      <c r="E14" s="7" t="s">
        <v>49</v>
      </c>
    </row>
    <row r="15" customFormat="false" ht="26.85" hidden="false" customHeight="false" outlineLevel="0" collapsed="false">
      <c r="A15" s="7" t="s">
        <v>50</v>
      </c>
      <c r="B15" s="10" t="n">
        <v>0.06</v>
      </c>
      <c r="C15" s="9" t="s">
        <v>27</v>
      </c>
      <c r="D15" s="9" t="s">
        <v>28</v>
      </c>
      <c r="E15" s="7" t="s">
        <v>51</v>
      </c>
    </row>
    <row r="16" customFormat="false" ht="26.85" hidden="false" customHeight="false" outlineLevel="0" collapsed="false">
      <c r="A16" s="7" t="s">
        <v>52</v>
      </c>
      <c r="B16" s="8" t="n">
        <v>58196</v>
      </c>
      <c r="C16" s="9" t="s">
        <v>21</v>
      </c>
      <c r="D16" s="9" t="s">
        <v>22</v>
      </c>
      <c r="E16" s="7" t="s">
        <v>53</v>
      </c>
    </row>
    <row r="17" customFormat="false" ht="15" hidden="false" customHeight="false" outlineLevel="0" collapsed="false">
      <c r="A17" s="7" t="s">
        <v>54</v>
      </c>
      <c r="B17" s="13" t="n">
        <v>0.08</v>
      </c>
      <c r="C17" s="9" t="s">
        <v>27</v>
      </c>
      <c r="D17" s="9" t="s">
        <v>28</v>
      </c>
      <c r="E17" s="7" t="s">
        <v>55</v>
      </c>
    </row>
    <row r="18" customFormat="false" ht="15" hidden="false" customHeight="false" outlineLevel="0" collapsed="false">
      <c r="A18" s="7" t="s">
        <v>56</v>
      </c>
      <c r="B18" s="10" t="n">
        <v>0.1</v>
      </c>
      <c r="C18" s="9" t="s">
        <v>27</v>
      </c>
      <c r="D18" s="9" t="s">
        <v>28</v>
      </c>
      <c r="E18" s="7" t="s">
        <v>57</v>
      </c>
    </row>
    <row r="19" customFormat="false" ht="15" hidden="false" customHeight="false" outlineLevel="0" collapsed="false">
      <c r="A19" s="5" t="s">
        <v>58</v>
      </c>
      <c r="B19" s="6"/>
      <c r="C19" s="6"/>
      <c r="D19" s="6"/>
      <c r="E19" s="6"/>
    </row>
    <row r="20" customFormat="false" ht="26.85" hidden="false" customHeight="false" outlineLevel="0" collapsed="false">
      <c r="A20" s="7" t="s">
        <v>59</v>
      </c>
      <c r="B20" s="13" t="n">
        <v>0.75</v>
      </c>
      <c r="C20" s="9" t="s">
        <v>27</v>
      </c>
      <c r="D20" s="9" t="s">
        <v>28</v>
      </c>
      <c r="E20" s="7" t="s">
        <v>60</v>
      </c>
    </row>
    <row r="21" customFormat="false" ht="15" hidden="false" customHeight="false" outlineLevel="0" collapsed="false">
      <c r="A21" s="7" t="s">
        <v>61</v>
      </c>
      <c r="B21" s="11" t="n">
        <v>8</v>
      </c>
      <c r="C21" s="9" t="s">
        <v>62</v>
      </c>
      <c r="D21" s="9" t="s">
        <v>28</v>
      </c>
      <c r="E21" s="7" t="s">
        <v>63</v>
      </c>
    </row>
    <row r="22" customFormat="false" ht="26.85" hidden="false" customHeight="false" outlineLevel="0" collapsed="false">
      <c r="A22" s="7" t="s">
        <v>64</v>
      </c>
      <c r="B22" s="10" t="n">
        <v>0.12</v>
      </c>
      <c r="C22" s="9" t="s">
        <v>27</v>
      </c>
      <c r="D22" s="9" t="s">
        <v>28</v>
      </c>
      <c r="E22" s="7" t="s">
        <v>65</v>
      </c>
    </row>
    <row r="23" customFormat="false" ht="15" hidden="false" customHeight="false" outlineLevel="0" collapsed="false">
      <c r="A23" s="7" t="s">
        <v>66</v>
      </c>
      <c r="B23" s="13" t="n">
        <v>0.015</v>
      </c>
      <c r="C23" s="9" t="s">
        <v>27</v>
      </c>
      <c r="D23" s="9" t="s">
        <v>22</v>
      </c>
      <c r="E23" s="7" t="s">
        <v>67</v>
      </c>
    </row>
    <row r="24" customFormat="false" ht="15" hidden="false" customHeight="false" outlineLevel="0" collapsed="false">
      <c r="A24" s="7" t="s">
        <v>68</v>
      </c>
      <c r="B24" s="13" t="n">
        <v>0.016</v>
      </c>
      <c r="C24" s="9" t="s">
        <v>27</v>
      </c>
      <c r="D24" s="9" t="s">
        <v>22</v>
      </c>
      <c r="E24" s="7" t="s">
        <v>69</v>
      </c>
    </row>
    <row r="25" customFormat="false" ht="15" hidden="false" customHeight="false" outlineLevel="0" collapsed="false">
      <c r="A25" s="7" t="s">
        <v>70</v>
      </c>
      <c r="B25" s="14" t="n">
        <v>1</v>
      </c>
      <c r="C25" s="9" t="s">
        <v>36</v>
      </c>
      <c r="D25" s="9" t="s">
        <v>22</v>
      </c>
      <c r="E25" s="7" t="s">
        <v>71</v>
      </c>
    </row>
    <row r="26" customFormat="false" ht="15" hidden="false" customHeight="false" outlineLevel="0" collapsed="false">
      <c r="A26" s="7" t="s">
        <v>72</v>
      </c>
      <c r="B26" s="14" t="n">
        <v>2.99</v>
      </c>
      <c r="C26" s="9" t="s">
        <v>36</v>
      </c>
      <c r="D26" s="9" t="s">
        <v>28</v>
      </c>
      <c r="E26" s="7" t="s">
        <v>73</v>
      </c>
    </row>
    <row r="27" customFormat="false" ht="15" hidden="false" customHeight="false" outlineLevel="0" collapsed="false">
      <c r="A27" s="7" t="s">
        <v>74</v>
      </c>
      <c r="B27" s="14" t="n">
        <v>29</v>
      </c>
      <c r="C27" s="9" t="s">
        <v>36</v>
      </c>
      <c r="D27" s="9" t="s">
        <v>28</v>
      </c>
      <c r="E27" s="7" t="s">
        <v>75</v>
      </c>
    </row>
    <row r="28" customFormat="false" ht="15" hidden="false" customHeight="false" outlineLevel="0" collapsed="false">
      <c r="A28" s="7" t="s">
        <v>76</v>
      </c>
      <c r="B28" s="13" t="n">
        <v>0.1</v>
      </c>
      <c r="C28" s="9" t="s">
        <v>27</v>
      </c>
      <c r="D28" s="9" t="s">
        <v>28</v>
      </c>
      <c r="E28" s="7"/>
    </row>
    <row r="29" customFormat="false" ht="15" hidden="false" customHeight="false" outlineLevel="0" collapsed="false">
      <c r="A29" s="7" t="s">
        <v>77</v>
      </c>
      <c r="B29" s="14" t="n">
        <v>9.99</v>
      </c>
      <c r="C29" s="9" t="s">
        <v>36</v>
      </c>
      <c r="D29" s="9" t="s">
        <v>28</v>
      </c>
      <c r="E29" s="7" t="s">
        <v>78</v>
      </c>
    </row>
    <row r="30" customFormat="false" ht="15" hidden="false" customHeight="false" outlineLevel="0" collapsed="false">
      <c r="A30" s="7" t="s">
        <v>79</v>
      </c>
      <c r="B30" s="13" t="n">
        <v>0.05</v>
      </c>
      <c r="C30" s="9" t="s">
        <v>27</v>
      </c>
      <c r="D30" s="9" t="s">
        <v>28</v>
      </c>
      <c r="E30" s="7"/>
    </row>
    <row r="31" customFormat="false" ht="15" hidden="false" customHeight="false" outlineLevel="0" collapsed="false">
      <c r="A31" s="7" t="s">
        <v>80</v>
      </c>
      <c r="B31" s="8" t="n">
        <v>9</v>
      </c>
      <c r="C31" s="9" t="s">
        <v>81</v>
      </c>
      <c r="D31" s="9" t="s">
        <v>28</v>
      </c>
      <c r="E31" s="7" t="s">
        <v>82</v>
      </c>
    </row>
    <row r="32" customFormat="false" ht="26.85" hidden="false" customHeight="false" outlineLevel="0" collapsed="false">
      <c r="A32" s="7" t="s">
        <v>83</v>
      </c>
      <c r="B32" s="14" t="n">
        <v>5</v>
      </c>
      <c r="C32" s="9" t="s">
        <v>36</v>
      </c>
      <c r="D32" s="9" t="s">
        <v>28</v>
      </c>
      <c r="E32" s="7" t="s">
        <v>84</v>
      </c>
    </row>
    <row r="33" customFormat="false" ht="15" hidden="false" customHeight="false" outlineLevel="0" collapsed="false">
      <c r="A33" s="7" t="s">
        <v>85</v>
      </c>
      <c r="B33" s="8" t="n">
        <v>5000</v>
      </c>
      <c r="C33" s="9" t="s">
        <v>86</v>
      </c>
      <c r="D33" s="9" t="s">
        <v>28</v>
      </c>
      <c r="E33" s="7" t="s">
        <v>87</v>
      </c>
    </row>
    <row r="34" customFormat="false" ht="26.85" hidden="false" customHeight="false" outlineLevel="0" collapsed="false">
      <c r="A34" s="7" t="s">
        <v>88</v>
      </c>
      <c r="B34" s="15" t="n">
        <v>15000</v>
      </c>
      <c r="C34" s="9" t="s">
        <v>36</v>
      </c>
      <c r="D34" s="9" t="s">
        <v>28</v>
      </c>
      <c r="E34" s="7" t="s">
        <v>89</v>
      </c>
    </row>
    <row r="35" customFormat="false" ht="15" hidden="false" customHeight="false" outlineLevel="0" collapsed="false">
      <c r="A35" s="7" t="s">
        <v>90</v>
      </c>
      <c r="B35" s="8" t="n">
        <v>5000</v>
      </c>
      <c r="C35" s="9" t="s">
        <v>86</v>
      </c>
      <c r="D35" s="9" t="s">
        <v>28</v>
      </c>
      <c r="E35" s="7" t="s">
        <v>91</v>
      </c>
    </row>
    <row r="36" customFormat="false" ht="26.85" hidden="false" customHeight="false" outlineLevel="0" collapsed="false">
      <c r="A36" s="7" t="s">
        <v>92</v>
      </c>
      <c r="B36" s="14" t="n">
        <v>2</v>
      </c>
      <c r="C36" s="9" t="s">
        <v>36</v>
      </c>
      <c r="D36" s="9" t="s">
        <v>28</v>
      </c>
      <c r="E36" s="7" t="s">
        <v>93</v>
      </c>
    </row>
    <row r="37" customFormat="false" ht="15" hidden="false" customHeight="false" outlineLevel="0" collapsed="false">
      <c r="A37" s="5" t="s">
        <v>94</v>
      </c>
      <c r="B37" s="6"/>
      <c r="C37" s="6"/>
      <c r="D37" s="6"/>
      <c r="E37" s="6"/>
    </row>
    <row r="38" customFormat="false" ht="15" hidden="false" customHeight="false" outlineLevel="0" collapsed="false">
      <c r="A38" s="7" t="s">
        <v>95</v>
      </c>
      <c r="B38" s="16" t="n">
        <v>3.7</v>
      </c>
      <c r="C38" s="9" t="s">
        <v>36</v>
      </c>
      <c r="D38" s="9" t="s">
        <v>28</v>
      </c>
      <c r="E38" s="7" t="s">
        <v>96</v>
      </c>
    </row>
    <row r="39" customFormat="false" ht="15" hidden="false" customHeight="false" outlineLevel="0" collapsed="false">
      <c r="A39" s="7" t="s">
        <v>97</v>
      </c>
      <c r="B39" s="16" t="n">
        <v>1.41</v>
      </c>
      <c r="C39" s="9" t="s">
        <v>98</v>
      </c>
      <c r="D39" s="9" t="s">
        <v>22</v>
      </c>
      <c r="E39" s="7" t="s">
        <v>99</v>
      </c>
    </row>
    <row r="40" customFormat="false" ht="15" hidden="false" customHeight="false" outlineLevel="0" collapsed="false">
      <c r="A40" s="7" t="s">
        <v>100</v>
      </c>
      <c r="B40" s="16" t="n">
        <v>2.31</v>
      </c>
      <c r="C40" s="9" t="s">
        <v>98</v>
      </c>
      <c r="D40" s="9" t="s">
        <v>22</v>
      </c>
      <c r="E40" s="7" t="s">
        <v>101</v>
      </c>
    </row>
    <row r="41" customFormat="false" ht="15" hidden="false" customHeight="false" outlineLevel="0" collapsed="false">
      <c r="A41" s="7" t="s">
        <v>102</v>
      </c>
      <c r="B41" s="13" t="n">
        <v>0.4</v>
      </c>
      <c r="C41" s="9" t="s">
        <v>27</v>
      </c>
      <c r="D41" s="9" t="s">
        <v>28</v>
      </c>
      <c r="E41" s="7"/>
    </row>
    <row r="42" customFormat="false" ht="15" hidden="false" customHeight="false" outlineLevel="0" collapsed="false">
      <c r="A42" s="7" t="s">
        <v>103</v>
      </c>
      <c r="B42" s="10" t="n">
        <v>0.25</v>
      </c>
      <c r="C42" s="9" t="s">
        <v>27</v>
      </c>
      <c r="D42" s="9" t="s">
        <v>28</v>
      </c>
      <c r="E42" s="7" t="s">
        <v>104</v>
      </c>
    </row>
    <row r="43" customFormat="false" ht="26.85" hidden="false" customHeight="false" outlineLevel="0" collapsed="false">
      <c r="A43" s="7" t="s">
        <v>105</v>
      </c>
      <c r="B43" s="10" t="n">
        <v>0.5</v>
      </c>
      <c r="C43" s="9" t="s">
        <v>27</v>
      </c>
      <c r="D43" s="9" t="s">
        <v>28</v>
      </c>
      <c r="E43" s="7"/>
    </row>
    <row r="44" customFormat="false" ht="15" hidden="false" customHeight="false" outlineLevel="0" collapsed="false">
      <c r="A44" s="7" t="s">
        <v>106</v>
      </c>
      <c r="B44" s="13" t="n">
        <v>0.4</v>
      </c>
      <c r="C44" s="9" t="s">
        <v>27</v>
      </c>
      <c r="D44" s="9" t="s">
        <v>28</v>
      </c>
      <c r="E44" s="7" t="s">
        <v>107</v>
      </c>
    </row>
    <row r="45" customFormat="false" ht="15" hidden="false" customHeight="false" outlineLevel="0" collapsed="false">
      <c r="A45" s="7" t="s">
        <v>108</v>
      </c>
      <c r="B45" s="15" t="n">
        <v>3600</v>
      </c>
      <c r="C45" s="9" t="s">
        <v>36</v>
      </c>
      <c r="D45" s="9" t="s">
        <v>28</v>
      </c>
      <c r="E45" s="7" t="s">
        <v>109</v>
      </c>
    </row>
    <row r="46" customFormat="false" ht="15" hidden="false" customHeight="false" outlineLevel="0" collapsed="false">
      <c r="A46" s="7" t="s">
        <v>110</v>
      </c>
      <c r="B46" s="14" t="n">
        <v>1</v>
      </c>
      <c r="C46" s="9" t="s">
        <v>36</v>
      </c>
      <c r="D46" s="9" t="s">
        <v>28</v>
      </c>
      <c r="E46" s="7"/>
    </row>
    <row r="47" customFormat="false" ht="26.85" hidden="false" customHeight="false" outlineLevel="0" collapsed="false">
      <c r="A47" s="7" t="s">
        <v>111</v>
      </c>
      <c r="B47" s="14" t="n">
        <v>3</v>
      </c>
      <c r="C47" s="9" t="s">
        <v>36</v>
      </c>
      <c r="D47" s="9" t="s">
        <v>28</v>
      </c>
      <c r="E47" s="7"/>
    </row>
    <row r="48" customFormat="false" ht="15" hidden="false" customHeight="false" outlineLevel="0" collapsed="false">
      <c r="A48" s="7" t="s">
        <v>112</v>
      </c>
      <c r="B48" s="15" t="n">
        <v>500</v>
      </c>
      <c r="C48" s="9" t="s">
        <v>36</v>
      </c>
      <c r="D48" s="9" t="s">
        <v>113</v>
      </c>
      <c r="E48" s="7" t="s">
        <v>114</v>
      </c>
    </row>
    <row r="49" customFormat="false" ht="15" hidden="false" customHeight="false" outlineLevel="0" collapsed="false">
      <c r="A49" s="7" t="s">
        <v>115</v>
      </c>
      <c r="B49" s="15" t="n">
        <v>6000</v>
      </c>
      <c r="C49" s="9" t="s">
        <v>36</v>
      </c>
      <c r="D49" s="9" t="s">
        <v>28</v>
      </c>
      <c r="E49" s="7" t="s">
        <v>116</v>
      </c>
    </row>
    <row r="50" customFormat="false" ht="15" hidden="false" customHeight="false" outlineLevel="0" collapsed="false">
      <c r="A50" s="7" t="s">
        <v>117</v>
      </c>
      <c r="B50" s="15" t="n">
        <v>3000</v>
      </c>
      <c r="C50" s="9" t="s">
        <v>36</v>
      </c>
      <c r="D50" s="9" t="s">
        <v>28</v>
      </c>
      <c r="E50" s="7" t="s">
        <v>118</v>
      </c>
    </row>
    <row r="51" customFormat="false" ht="15" hidden="false" customHeight="false" outlineLevel="0" collapsed="false">
      <c r="A51" s="9"/>
      <c r="B51" s="9"/>
      <c r="C51" s="9"/>
      <c r="D51" s="9"/>
      <c r="E51" s="9"/>
    </row>
    <row r="52" customFormat="false" ht="15" hidden="false" customHeight="false" outlineLevel="0" collapsed="false">
      <c r="A52" s="5" t="s">
        <v>119</v>
      </c>
      <c r="B52" s="6"/>
      <c r="C52" s="6"/>
      <c r="D52" s="6"/>
      <c r="E52" s="6"/>
    </row>
    <row r="53" customFormat="false" ht="15" hidden="false" customHeight="false" outlineLevel="0" collapsed="false">
      <c r="A53" s="9" t="s">
        <v>120</v>
      </c>
      <c r="B53" s="17" t="n">
        <f aca="false">($B$39*(1-$B$41)+$B$40*$B$41)*$B$38</f>
        <v>6.549</v>
      </c>
      <c r="C53" s="9" t="s">
        <v>36</v>
      </c>
      <c r="D53" s="9" t="s">
        <v>121</v>
      </c>
      <c r="E53" s="9"/>
    </row>
    <row r="54" customFormat="false" ht="15" hidden="false" customHeight="false" outlineLevel="0" collapsed="false">
      <c r="A54" s="9" t="s">
        <v>122</v>
      </c>
      <c r="B54" s="17" t="n">
        <f aca="false">$B$53/$B$42</f>
        <v>26.196</v>
      </c>
      <c r="C54" s="9" t="s">
        <v>36</v>
      </c>
      <c r="D54" s="9" t="s">
        <v>121</v>
      </c>
      <c r="E54" s="9"/>
    </row>
    <row r="55" customFormat="false" ht="15" hidden="false" customHeight="false" outlineLevel="0" collapsed="false">
      <c r="A55" s="9" t="s">
        <v>123</v>
      </c>
      <c r="B55" s="17" t="n">
        <f aca="false">$B$8*$B$22-($B$8*(1+$B$22)*$B$23+$B$25)</f>
        <v>2.096</v>
      </c>
      <c r="C55" s="9" t="s">
        <v>36</v>
      </c>
      <c r="D55" s="9" t="s">
        <v>121</v>
      </c>
      <c r="E55" s="9"/>
    </row>
    <row r="56" customFormat="false" ht="15" hidden="false" customHeight="false" outlineLevel="0" collapsed="false">
      <c r="A56" s="9" t="s">
        <v>124</v>
      </c>
      <c r="B56" s="17" t="n">
        <f aca="false">$B$8*$B$22</f>
        <v>3.6</v>
      </c>
      <c r="C56" s="9" t="s">
        <v>36</v>
      </c>
      <c r="D56" s="9" t="s">
        <v>121</v>
      </c>
      <c r="E56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90"/>
  </cols>
  <sheetData>
    <row r="1" customFormat="false" ht="15" hidden="false" customHeight="false" outlineLevel="0" collapsed="false">
      <c r="A1" s="4" t="s">
        <v>125</v>
      </c>
      <c r="B1" s="4" t="s">
        <v>15</v>
      </c>
      <c r="C1" s="4" t="s">
        <v>16</v>
      </c>
      <c r="D1" s="4" t="s">
        <v>126</v>
      </c>
    </row>
    <row r="2" customFormat="false" ht="15" hidden="false" customHeight="false" outlineLevel="0" collapsed="false">
      <c r="A2" s="5" t="s">
        <v>127</v>
      </c>
      <c r="B2" s="6"/>
      <c r="C2" s="6"/>
      <c r="D2" s="6"/>
    </row>
    <row r="3" customFormat="false" ht="15" hidden="false" customHeight="false" outlineLevel="0" collapsed="false">
      <c r="A3" s="7" t="s">
        <v>128</v>
      </c>
      <c r="B3" s="18" t="n">
        <f aca="false">Zalozenia!$B$3-Zalozenia!$B$4</f>
        <v>1214241</v>
      </c>
      <c r="C3" s="9" t="s">
        <v>21</v>
      </c>
      <c r="D3" s="7" t="s">
        <v>129</v>
      </c>
    </row>
    <row r="4" customFormat="false" ht="15" hidden="false" customHeight="false" outlineLevel="0" collapsed="false">
      <c r="A4" s="7" t="s">
        <v>130</v>
      </c>
      <c r="B4" s="18" t="n">
        <f aca="false">B3*Zalozenia!$B$5</f>
        <v>607120.5</v>
      </c>
      <c r="C4" s="9" t="s">
        <v>21</v>
      </c>
      <c r="D4" s="7" t="s">
        <v>131</v>
      </c>
    </row>
    <row r="5" customFormat="false" ht="15" hidden="false" customHeight="false" outlineLevel="0" collapsed="false">
      <c r="A5" s="7" t="s">
        <v>132</v>
      </c>
      <c r="B5" s="18" t="n">
        <f aca="false">B4*Zalozenia!$B$6</f>
        <v>364272.3</v>
      </c>
      <c r="C5" s="9" t="s">
        <v>21</v>
      </c>
      <c r="D5" s="7" t="s">
        <v>133</v>
      </c>
    </row>
    <row r="6" customFormat="false" ht="15" hidden="false" customHeight="false" outlineLevel="0" collapsed="false">
      <c r="A6" s="7" t="s">
        <v>134</v>
      </c>
      <c r="B6" s="18" t="n">
        <f aca="false">B5*Zalozenia!$B$7</f>
        <v>8742535.2</v>
      </c>
      <c r="C6" s="9" t="s">
        <v>33</v>
      </c>
      <c r="D6" s="7" t="s">
        <v>135</v>
      </c>
    </row>
    <row r="7" customFormat="false" ht="15" hidden="false" customHeight="false" outlineLevel="0" collapsed="false">
      <c r="A7" s="7" t="s">
        <v>136</v>
      </c>
      <c r="B7" s="19" t="n">
        <f aca="false">B6*Zalozenia!$B$8</f>
        <v>262276056</v>
      </c>
      <c r="C7" s="9" t="s">
        <v>137</v>
      </c>
      <c r="D7" s="7" t="s">
        <v>138</v>
      </c>
    </row>
    <row r="8" customFormat="false" ht="26.85" hidden="false" customHeight="false" outlineLevel="0" collapsed="false">
      <c r="A8" s="7" t="s">
        <v>139</v>
      </c>
      <c r="B8" s="8" t="n">
        <v>13700000</v>
      </c>
      <c r="C8" s="9" t="s">
        <v>33</v>
      </c>
      <c r="D8" s="7" t="s">
        <v>140</v>
      </c>
    </row>
    <row r="9" customFormat="false" ht="15" hidden="false" customHeight="false" outlineLevel="0" collapsed="false">
      <c r="A9" s="5" t="s">
        <v>141</v>
      </c>
      <c r="B9" s="6"/>
      <c r="C9" s="6"/>
      <c r="D9" s="6"/>
    </row>
    <row r="10" customFormat="false" ht="15" hidden="false" customHeight="false" outlineLevel="0" collapsed="false">
      <c r="A10" s="7" t="s">
        <v>142</v>
      </c>
      <c r="B10" s="18" t="n">
        <f aca="false">B5*Zalozenia!$B$9</f>
        <v>127495.305</v>
      </c>
      <c r="C10" s="9" t="s">
        <v>21</v>
      </c>
      <c r="D10" s="7" t="s">
        <v>143</v>
      </c>
    </row>
    <row r="11" customFormat="false" ht="15" hidden="false" customHeight="false" outlineLevel="0" collapsed="false">
      <c r="A11" s="7" t="s">
        <v>144</v>
      </c>
      <c r="B11" s="18" t="n">
        <f aca="false">B10*Zalozenia!$B$7*Zalozenia!$B$10</f>
        <v>1223954.928</v>
      </c>
      <c r="C11" s="9" t="s">
        <v>33</v>
      </c>
      <c r="D11" s="7" t="s">
        <v>145</v>
      </c>
    </row>
    <row r="12" customFormat="false" ht="15" hidden="false" customHeight="false" outlineLevel="0" collapsed="false">
      <c r="A12" s="7" t="s">
        <v>146</v>
      </c>
      <c r="B12" s="19" t="n">
        <f aca="false">B11*Zalozenia!$B$8</f>
        <v>36718647.84</v>
      </c>
      <c r="C12" s="9" t="s">
        <v>137</v>
      </c>
      <c r="D12" s="7" t="s">
        <v>147</v>
      </c>
    </row>
    <row r="13" customFormat="false" ht="15" hidden="false" customHeight="false" outlineLevel="0" collapsed="false">
      <c r="A13" s="7" t="s">
        <v>148</v>
      </c>
      <c r="B13" s="19" t="n">
        <f aca="false">B11*Zalozenia!$B$56</f>
        <v>4406237.7408</v>
      </c>
      <c r="C13" s="9" t="s">
        <v>137</v>
      </c>
      <c r="D13" s="7" t="s">
        <v>149</v>
      </c>
    </row>
    <row r="14" customFormat="false" ht="15" hidden="false" customHeight="false" outlineLevel="0" collapsed="false">
      <c r="A14" s="7" t="s">
        <v>150</v>
      </c>
      <c r="B14" s="19" t="n">
        <f aca="false">B11*Zalozenia!$B$55</f>
        <v>2565409.529088</v>
      </c>
      <c r="C14" s="9" t="s">
        <v>137</v>
      </c>
      <c r="D14" s="7" t="s">
        <v>151</v>
      </c>
    </row>
    <row r="15" customFormat="false" ht="15" hidden="false" customHeight="false" outlineLevel="0" collapsed="false">
      <c r="A15" s="7" t="s">
        <v>152</v>
      </c>
      <c r="B15" s="18" t="n">
        <f aca="false">B10*Zalozenia!$B$11</f>
        <v>25499.061</v>
      </c>
      <c r="C15" s="9" t="s">
        <v>21</v>
      </c>
      <c r="D15" s="7" t="s">
        <v>153</v>
      </c>
    </row>
    <row r="16" customFormat="false" ht="15" hidden="false" customHeight="false" outlineLevel="0" collapsed="false">
      <c r="A16" s="7" t="s">
        <v>154</v>
      </c>
      <c r="B16" s="18" t="n">
        <f aca="false">B15*Zalozenia!$B$7*Zalozenia!$B$10*Zalozenia!$B$12</f>
        <v>734372.9568</v>
      </c>
      <c r="C16" s="9" t="s">
        <v>45</v>
      </c>
      <c r="D16" s="7" t="s">
        <v>155</v>
      </c>
    </row>
    <row r="17" customFormat="false" ht="15" hidden="false" customHeight="false" outlineLevel="0" collapsed="false">
      <c r="A17" s="7" t="s">
        <v>156</v>
      </c>
      <c r="B17" s="18" t="n">
        <f aca="false">(B10-B15)*Zalozenia!$B$7*Zalozenia!$B$10</f>
        <v>979163.9424</v>
      </c>
      <c r="C17" s="9" t="s">
        <v>45</v>
      </c>
      <c r="D17" s="7" t="s">
        <v>157</v>
      </c>
    </row>
    <row r="18" customFormat="false" ht="15" hidden="false" customHeight="false" outlineLevel="0" collapsed="false">
      <c r="A18" s="7" t="s">
        <v>158</v>
      </c>
      <c r="B18" s="20" t="n">
        <f aca="false">IF(B17=0,0,B16/B17)</f>
        <v>0.75</v>
      </c>
      <c r="C18" s="9" t="s">
        <v>159</v>
      </c>
      <c r="D18" s="7" t="s">
        <v>160</v>
      </c>
    </row>
    <row r="19" customFormat="false" ht="15" hidden="false" customHeight="false" outlineLevel="0" collapsed="false">
      <c r="A19" s="5" t="s">
        <v>161</v>
      </c>
      <c r="B19" s="6"/>
      <c r="C19" s="6"/>
      <c r="D19" s="6"/>
    </row>
    <row r="20" customFormat="false" ht="15" hidden="false" customHeight="false" outlineLevel="0" collapsed="false">
      <c r="A20" s="7" t="s">
        <v>162</v>
      </c>
      <c r="B20" s="18" t="n">
        <f aca="false">Zalozenia!$B$14*Zalozenia!$B$15</f>
        <v>15420</v>
      </c>
      <c r="C20" s="9" t="s">
        <v>21</v>
      </c>
      <c r="D20" s="7" t="s">
        <v>163</v>
      </c>
    </row>
    <row r="21" customFormat="false" ht="15" hidden="false" customHeight="false" outlineLevel="0" collapsed="false">
      <c r="A21" s="7" t="s">
        <v>164</v>
      </c>
      <c r="B21" s="18" t="n">
        <f aca="false">Zalozenia!$B$16*Zalozenia!$B$17</f>
        <v>4655.68</v>
      </c>
      <c r="C21" s="9" t="s">
        <v>21</v>
      </c>
      <c r="D21" s="7" t="s">
        <v>165</v>
      </c>
    </row>
    <row r="22" customFormat="false" ht="15" hidden="false" customHeight="false" outlineLevel="0" collapsed="false">
      <c r="A22" s="7" t="s">
        <v>166</v>
      </c>
      <c r="B22" s="18" t="n">
        <f aca="false">B20+B21</f>
        <v>20075.68</v>
      </c>
      <c r="C22" s="9" t="s">
        <v>21</v>
      </c>
      <c r="D22" s="7" t="s">
        <v>167</v>
      </c>
    </row>
    <row r="23" customFormat="false" ht="15" hidden="false" customHeight="false" outlineLevel="0" collapsed="false">
      <c r="A23" s="7" t="s">
        <v>168</v>
      </c>
      <c r="B23" s="18" t="n">
        <f aca="false">B22*Zalozenia!$B$6</f>
        <v>12045.408</v>
      </c>
      <c r="C23" s="9" t="s">
        <v>21</v>
      </c>
      <c r="D23" s="7" t="s">
        <v>133</v>
      </c>
    </row>
    <row r="24" customFormat="false" ht="15" hidden="false" customHeight="false" outlineLevel="0" collapsed="false">
      <c r="A24" s="7" t="s">
        <v>169</v>
      </c>
      <c r="B24" s="18" t="n">
        <f aca="false">B23*Zalozenia!$B$9</f>
        <v>4215.8928</v>
      </c>
      <c r="C24" s="9" t="s">
        <v>21</v>
      </c>
      <c r="D24" s="7" t="s">
        <v>170</v>
      </c>
    </row>
    <row r="25" customFormat="false" ht="15" hidden="false" customHeight="false" outlineLevel="0" collapsed="false">
      <c r="A25" s="7" t="s">
        <v>171</v>
      </c>
      <c r="B25" s="18" t="n">
        <f aca="false">B24*Zalozenia!$B$18</f>
        <v>421.58928</v>
      </c>
      <c r="C25" s="9" t="s">
        <v>172</v>
      </c>
      <c r="D25" s="7" t="s">
        <v>173</v>
      </c>
    </row>
    <row r="26" customFormat="false" ht="26.85" hidden="false" customHeight="false" outlineLevel="0" collapsed="false">
      <c r="A26" s="7" t="s">
        <v>174</v>
      </c>
      <c r="B26" s="18" t="n">
        <f aca="false">B24*Zalozenia!$B$7*Zalozenia!$B$10</f>
        <v>40472.57088</v>
      </c>
      <c r="C26" s="9" t="s">
        <v>33</v>
      </c>
      <c r="D26" s="7"/>
    </row>
    <row r="27" customFormat="false" ht="26.85" hidden="false" customHeight="false" outlineLevel="0" collapsed="false">
      <c r="A27" s="7" t="s">
        <v>175</v>
      </c>
      <c r="B27" s="18" t="n">
        <f aca="false">B26/35</f>
        <v>1156.359168</v>
      </c>
      <c r="C27" s="9" t="s">
        <v>33</v>
      </c>
      <c r="D27" s="7" t="s">
        <v>176</v>
      </c>
    </row>
    <row r="28" customFormat="false" ht="15" hidden="false" customHeight="false" outlineLevel="0" collapsed="false">
      <c r="A28" s="9"/>
      <c r="B28" s="9"/>
      <c r="C28" s="9"/>
      <c r="D28" s="9"/>
    </row>
    <row r="29" customFormat="false" ht="15" hidden="false" customHeight="false" outlineLevel="0" collapsed="false">
      <c r="A29" s="21" t="s">
        <v>177</v>
      </c>
      <c r="B29" s="9"/>
      <c r="C29" s="9"/>
      <c r="D29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6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7" min="5" style="0" width="15"/>
    <col collapsed="false" customWidth="true" hidden="false" outlineLevel="0" max="8" min="8" style="0" width="44"/>
    <col collapsed="false" customWidth="true" hidden="false" outlineLevel="0" max="9" min="9" style="0" width="48"/>
  </cols>
  <sheetData>
    <row r="1" customFormat="false" ht="39.55" hidden="false" customHeight="false" outlineLevel="0" collapsed="false">
      <c r="A1" s="4" t="s">
        <v>178</v>
      </c>
      <c r="B1" s="4" t="s">
        <v>179</v>
      </c>
      <c r="C1" s="4" t="s">
        <v>180</v>
      </c>
      <c r="D1" s="4" t="s">
        <v>181</v>
      </c>
      <c r="E1" s="4" t="s">
        <v>182</v>
      </c>
      <c r="F1" s="4" t="s">
        <v>183</v>
      </c>
      <c r="G1" s="4" t="s">
        <v>184</v>
      </c>
      <c r="H1" s="4" t="s">
        <v>185</v>
      </c>
      <c r="I1" s="4" t="s">
        <v>186</v>
      </c>
    </row>
    <row r="2" customFormat="false" ht="15" hidden="false" customHeight="false" outlineLevel="0" collapsed="false">
      <c r="A2" s="22" t="s">
        <v>187</v>
      </c>
      <c r="B2" s="9"/>
      <c r="C2" s="9"/>
      <c r="D2" s="9"/>
      <c r="E2" s="8" t="n">
        <v>1000</v>
      </c>
      <c r="F2" s="8" t="n">
        <v>10000</v>
      </c>
      <c r="G2" s="8" t="n">
        <v>50000</v>
      </c>
      <c r="H2" s="9"/>
      <c r="I2" s="9"/>
    </row>
    <row r="3" customFormat="false" ht="75" hidden="false" customHeight="true" outlineLevel="0" collapsed="false">
      <c r="A3" s="7" t="s">
        <v>188</v>
      </c>
      <c r="B3" s="7" t="s">
        <v>189</v>
      </c>
      <c r="C3" s="7" t="s">
        <v>190</v>
      </c>
      <c r="D3" s="23" t="n">
        <f aca="false">Zalozenia!$B$20*Zalozenia!$B$21*Zalozenia!$B$55</f>
        <v>12.576</v>
      </c>
      <c r="E3" s="24" t="n">
        <f aca="false">$D3*E$2</f>
        <v>12576</v>
      </c>
      <c r="F3" s="24" t="n">
        <f aca="false">$D3*F$2</f>
        <v>125760</v>
      </c>
      <c r="G3" s="24" t="n">
        <f aca="false">$D3*G$2</f>
        <v>628800</v>
      </c>
      <c r="H3" s="7" t="s">
        <v>191</v>
      </c>
      <c r="I3" s="7" t="s">
        <v>192</v>
      </c>
    </row>
    <row r="4" customFormat="false" ht="75" hidden="false" customHeight="true" outlineLevel="0" collapsed="false">
      <c r="A4" s="7" t="s">
        <v>193</v>
      </c>
      <c r="B4" s="7" t="s">
        <v>194</v>
      </c>
      <c r="C4" s="7" t="s">
        <v>195</v>
      </c>
      <c r="D4" s="23" t="n">
        <f aca="false">Zalozenia!$B$20*Zalozenia!$B$21*(Zalozenia!$B$26-(Zalozenia!$B$26*Zalozenia!$B$24+Zalozenia!$B$25))</f>
        <v>11.65296</v>
      </c>
      <c r="E4" s="24" t="n">
        <f aca="false">$D4*E$2</f>
        <v>11652.96</v>
      </c>
      <c r="F4" s="24" t="n">
        <f aca="false">$D4*F$2</f>
        <v>116529.6</v>
      </c>
      <c r="G4" s="24" t="n">
        <f aca="false">$D4*G$2</f>
        <v>582648</v>
      </c>
      <c r="H4" s="7" t="s">
        <v>196</v>
      </c>
      <c r="I4" s="7" t="s">
        <v>197</v>
      </c>
    </row>
    <row r="5" customFormat="false" ht="75" hidden="false" customHeight="true" outlineLevel="0" collapsed="false">
      <c r="A5" s="7" t="s">
        <v>198</v>
      </c>
      <c r="B5" s="7" t="s">
        <v>199</v>
      </c>
      <c r="C5" s="7" t="s">
        <v>200</v>
      </c>
      <c r="D5" s="23" t="n">
        <f aca="false">Zalozenia!$B$20*Zalozenia!$B$28*2*(Zalozenia!$B$27-(Zalozenia!$B$27*Zalozenia!$B$24+Zalozenia!$B$25))</f>
        <v>4.1304</v>
      </c>
      <c r="E5" s="24" t="n">
        <f aca="false">$D5*E$2</f>
        <v>4130.4</v>
      </c>
      <c r="F5" s="24" t="n">
        <f aca="false">$D5*F$2</f>
        <v>41304</v>
      </c>
      <c r="G5" s="24" t="n">
        <f aca="false">$D5*G$2</f>
        <v>206520</v>
      </c>
      <c r="H5" s="7" t="s">
        <v>201</v>
      </c>
      <c r="I5" s="7" t="s">
        <v>202</v>
      </c>
    </row>
    <row r="6" customFormat="false" ht="75" hidden="false" customHeight="true" outlineLevel="0" collapsed="false">
      <c r="A6" s="7" t="s">
        <v>203</v>
      </c>
      <c r="B6" s="7" t="s">
        <v>204</v>
      </c>
      <c r="C6" s="7" t="s">
        <v>205</v>
      </c>
      <c r="D6" s="23" t="n">
        <f aca="false">(1-Zalozenia!$B$20)*Zalozenia!$B$30*Zalozenia!$B$31*(Zalozenia!$B$29-(Zalozenia!$B$29*Zalozenia!$B$23+Zalozenia!$B$25))</f>
        <v>0.994516875</v>
      </c>
      <c r="E6" s="24" t="n">
        <f aca="false">$D6*E$2</f>
        <v>994.516875</v>
      </c>
      <c r="F6" s="24" t="n">
        <f aca="false">$D6*F$2</f>
        <v>9945.16875</v>
      </c>
      <c r="G6" s="24" t="n">
        <f aca="false">$D6*G$2</f>
        <v>49725.84375</v>
      </c>
      <c r="H6" s="7" t="s">
        <v>206</v>
      </c>
      <c r="I6" s="7" t="s">
        <v>207</v>
      </c>
    </row>
    <row r="7" customFormat="false" ht="75" hidden="false" customHeight="true" outlineLevel="0" collapsed="false">
      <c r="A7" s="7" t="s">
        <v>208</v>
      </c>
      <c r="B7" s="7" t="s">
        <v>209</v>
      </c>
      <c r="C7" s="7" t="s">
        <v>210</v>
      </c>
      <c r="D7" s="9" t="s">
        <v>211</v>
      </c>
      <c r="E7" s="24" t="n">
        <f aca="false">IF(E$2&gt;=Zalozenia!$B$33,E$2*Zalozenia!$B$32,0)</f>
        <v>0</v>
      </c>
      <c r="F7" s="24" t="n">
        <f aca="false">IF(F$2&gt;=Zalozenia!$B$33,F$2*Zalozenia!$B$32,0)</f>
        <v>50000</v>
      </c>
      <c r="G7" s="24" t="n">
        <f aca="false">IF(G$2&gt;=Zalozenia!$B$33,G$2*Zalozenia!$B$32,0)</f>
        <v>250000</v>
      </c>
      <c r="H7" s="7" t="s">
        <v>212</v>
      </c>
      <c r="I7" s="7" t="s">
        <v>213</v>
      </c>
    </row>
    <row r="8" customFormat="false" ht="75" hidden="false" customHeight="true" outlineLevel="0" collapsed="false">
      <c r="A8" s="7" t="s">
        <v>214</v>
      </c>
      <c r="B8" s="7" t="s">
        <v>215</v>
      </c>
      <c r="C8" s="7" t="s">
        <v>216</v>
      </c>
      <c r="D8" s="9" t="s">
        <v>211</v>
      </c>
      <c r="E8" s="24" t="n">
        <f aca="false">ROUNDDOWN(E$2/Zalozenia!$B$35,0)*Zalozenia!$B$34</f>
        <v>0</v>
      </c>
      <c r="F8" s="24" t="n">
        <f aca="false">ROUNDDOWN(F$2/Zalozenia!$B$35,0)*Zalozenia!$B$34</f>
        <v>30000</v>
      </c>
      <c r="G8" s="24" t="n">
        <f aca="false">ROUNDDOWN(G$2/Zalozenia!$B$35,0)*Zalozenia!$B$34</f>
        <v>150000</v>
      </c>
      <c r="H8" s="7" t="s">
        <v>217</v>
      </c>
      <c r="I8" s="7" t="s">
        <v>218</v>
      </c>
    </row>
    <row r="9" customFormat="false" ht="75" hidden="false" customHeight="true" outlineLevel="0" collapsed="false">
      <c r="A9" s="7" t="s">
        <v>219</v>
      </c>
      <c r="B9" s="7" t="s">
        <v>220</v>
      </c>
      <c r="C9" s="7" t="s">
        <v>221</v>
      </c>
      <c r="D9" s="23" t="n">
        <f aca="false">Zalozenia!$B$36</f>
        <v>2</v>
      </c>
      <c r="E9" s="24" t="n">
        <f aca="false">$D9*E$2</f>
        <v>2000</v>
      </c>
      <c r="F9" s="24" t="n">
        <f aca="false">$D9*F$2</f>
        <v>20000</v>
      </c>
      <c r="G9" s="24" t="n">
        <f aca="false">$D9*G$2</f>
        <v>100000</v>
      </c>
      <c r="H9" s="7" t="s">
        <v>222</v>
      </c>
      <c r="I9" s="7" t="s">
        <v>223</v>
      </c>
    </row>
    <row r="10" customFormat="false" ht="15" hidden="false" customHeight="false" outlineLevel="0" collapsed="false">
      <c r="A10" s="22" t="s">
        <v>224</v>
      </c>
      <c r="B10" s="9"/>
      <c r="C10" s="9"/>
      <c r="D10" s="9"/>
      <c r="E10" s="25" t="n">
        <f aca="false">E4+E9</f>
        <v>13652.96</v>
      </c>
      <c r="F10" s="25" t="n">
        <f aca="false">F4+F9</f>
        <v>136529.6</v>
      </c>
      <c r="G10" s="25" t="n">
        <f aca="false">G4+G9</f>
        <v>682648</v>
      </c>
      <c r="H10" s="9"/>
      <c r="I10" s="9"/>
    </row>
    <row r="11" customFormat="false" ht="15" hidden="false" customHeight="false" outlineLevel="0" collapsed="false">
      <c r="A11" s="22" t="s">
        <v>225</v>
      </c>
      <c r="B11" s="9"/>
      <c r="C11" s="9"/>
      <c r="D11" s="9"/>
      <c r="E11" s="25" t="n">
        <f aca="false">E3+E7+E8+E9</f>
        <v>14576</v>
      </c>
      <c r="F11" s="25" t="n">
        <f aca="false">F3+F7+F8+F9</f>
        <v>225760</v>
      </c>
      <c r="G11" s="25" t="n">
        <f aca="false">G3+G7+G8+G9</f>
        <v>1128800</v>
      </c>
      <c r="H11" s="9"/>
      <c r="I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</row>
    <row r="13" customFormat="false" ht="15" hidden="false" customHeight="false" outlineLevel="0" collapsed="false">
      <c r="A13" s="21" t="s">
        <v>226</v>
      </c>
      <c r="B13" s="9"/>
      <c r="C13" s="9"/>
      <c r="D13" s="9"/>
      <c r="E13" s="9"/>
      <c r="F13" s="9"/>
      <c r="G13" s="9"/>
      <c r="H13" s="9"/>
      <c r="I13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10" min="2" style="0" width="14"/>
  </cols>
  <sheetData>
    <row r="1" customFormat="false" ht="15" hidden="false" customHeight="false" outlineLevel="0" collapsed="false">
      <c r="A1" s="22" t="s">
        <v>227</v>
      </c>
      <c r="B1" s="9"/>
      <c r="C1" s="9"/>
      <c r="D1" s="9"/>
      <c r="E1" s="9"/>
      <c r="F1" s="9"/>
      <c r="G1" s="9"/>
      <c r="H1" s="9"/>
      <c r="I1" s="9"/>
      <c r="J1" s="9"/>
    </row>
    <row r="2" customFormat="false" ht="15" hidden="false" customHeight="false" outlineLevel="0" collapsed="false">
      <c r="A2" s="26" t="s">
        <v>125</v>
      </c>
      <c r="B2" s="26" t="s">
        <v>228</v>
      </c>
      <c r="C2" s="26" t="s">
        <v>229</v>
      </c>
      <c r="D2" s="26" t="s">
        <v>230</v>
      </c>
      <c r="E2" s="26" t="s">
        <v>231</v>
      </c>
      <c r="F2" s="26" t="s">
        <v>232</v>
      </c>
      <c r="G2" s="26" t="s">
        <v>233</v>
      </c>
      <c r="H2" s="26" t="s">
        <v>234</v>
      </c>
      <c r="I2" s="26" t="s">
        <v>235</v>
      </c>
      <c r="J2" s="26" t="s">
        <v>236</v>
      </c>
    </row>
    <row r="3" customFormat="false" ht="15" hidden="false" customHeight="false" outlineLevel="0" collapsed="false">
      <c r="A3" s="7" t="s">
        <v>237</v>
      </c>
      <c r="B3" s="11" t="n">
        <v>300</v>
      </c>
      <c r="C3" s="11" t="n">
        <v>1000</v>
      </c>
      <c r="D3" s="11" t="n">
        <v>2500</v>
      </c>
      <c r="E3" s="11" t="n">
        <v>800</v>
      </c>
      <c r="F3" s="11" t="n">
        <v>4000</v>
      </c>
      <c r="G3" s="11" t="n">
        <v>12000</v>
      </c>
      <c r="H3" s="11" t="n">
        <v>2000</v>
      </c>
      <c r="I3" s="11" t="n">
        <v>10000</v>
      </c>
      <c r="J3" s="11" t="n">
        <v>30000</v>
      </c>
    </row>
    <row r="4" customFormat="false" ht="26.85" hidden="false" customHeight="false" outlineLevel="0" collapsed="false">
      <c r="A4" s="7" t="s">
        <v>238</v>
      </c>
      <c r="B4" s="27" t="n">
        <v>0</v>
      </c>
      <c r="C4" s="27" t="n">
        <v>1</v>
      </c>
      <c r="D4" s="27" t="n">
        <v>1</v>
      </c>
      <c r="E4" s="27" t="n">
        <v>0</v>
      </c>
      <c r="F4" s="27" t="n">
        <v>1</v>
      </c>
      <c r="G4" s="27" t="n">
        <v>1</v>
      </c>
      <c r="H4" s="27" t="n">
        <v>0</v>
      </c>
      <c r="I4" s="27" t="n">
        <v>1</v>
      </c>
      <c r="J4" s="27" t="n">
        <v>1</v>
      </c>
    </row>
    <row r="5" customFormat="false" ht="15" hidden="false" customHeight="false" outlineLevel="0" collapsed="false">
      <c r="A5" s="7" t="s">
        <v>239</v>
      </c>
      <c r="B5" s="15" t="n">
        <v>10000</v>
      </c>
      <c r="C5" s="15" t="n">
        <v>20000</v>
      </c>
      <c r="D5" s="15" t="n">
        <v>30000</v>
      </c>
      <c r="E5" s="15" t="n">
        <v>30000</v>
      </c>
      <c r="F5" s="15" t="n">
        <v>60000</v>
      </c>
      <c r="G5" s="15" t="n">
        <v>100000</v>
      </c>
      <c r="H5" s="15" t="n">
        <v>150000</v>
      </c>
      <c r="I5" s="15" t="n">
        <v>150000</v>
      </c>
      <c r="J5" s="15" t="n">
        <v>200000</v>
      </c>
    </row>
    <row r="6" customFormat="false" ht="15" hidden="false" customHeight="false" outlineLevel="0" collapsed="false">
      <c r="A6" s="7" t="s">
        <v>240</v>
      </c>
      <c r="B6" s="15" t="n">
        <v>2000</v>
      </c>
      <c r="C6" s="15" t="n">
        <v>5000</v>
      </c>
      <c r="D6" s="15" t="n">
        <v>8000</v>
      </c>
      <c r="E6" s="15" t="n">
        <v>5000</v>
      </c>
      <c r="F6" s="15" t="n">
        <v>15000</v>
      </c>
      <c r="G6" s="15" t="n">
        <v>30000</v>
      </c>
      <c r="H6" s="15" t="n">
        <v>10000</v>
      </c>
      <c r="I6" s="15" t="n">
        <v>30000</v>
      </c>
      <c r="J6" s="15" t="n">
        <v>60000</v>
      </c>
    </row>
    <row r="7" customFormat="false" ht="15" hidden="false" customHeight="false" outlineLevel="0" collapsed="false">
      <c r="A7" s="7" t="s">
        <v>241</v>
      </c>
      <c r="B7" s="15" t="n">
        <v>8000</v>
      </c>
      <c r="C7" s="15" t="n">
        <v>3000</v>
      </c>
      <c r="D7" s="15" t="n">
        <v>3000</v>
      </c>
      <c r="E7" s="15" t="n">
        <v>12000</v>
      </c>
      <c r="F7" s="15" t="n">
        <v>5000</v>
      </c>
      <c r="G7" s="15" t="n">
        <v>8000</v>
      </c>
      <c r="H7" s="15" t="n">
        <v>15000</v>
      </c>
      <c r="I7" s="15" t="n">
        <v>8000</v>
      </c>
      <c r="J7" s="15" t="n">
        <v>10000</v>
      </c>
    </row>
    <row r="8" customFormat="false" ht="15" hidden="false" customHeight="false" outlineLevel="0" collapsed="false">
      <c r="A8" s="7" t="s">
        <v>242</v>
      </c>
      <c r="B8" s="15" t="n">
        <v>0</v>
      </c>
      <c r="C8" s="15" t="n">
        <v>0</v>
      </c>
      <c r="D8" s="15" t="n">
        <v>0</v>
      </c>
      <c r="E8" s="15" t="n">
        <v>0</v>
      </c>
      <c r="F8" s="15" t="n">
        <v>120000</v>
      </c>
      <c r="G8" s="15" t="n">
        <v>240000</v>
      </c>
      <c r="H8" s="15" t="n">
        <v>60000</v>
      </c>
      <c r="I8" s="15" t="n">
        <v>360000</v>
      </c>
      <c r="J8" s="15" t="n">
        <v>600000</v>
      </c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</row>
    <row r="10" customFormat="false" ht="15" hidden="false" customHeight="false" outlineLevel="0" collapsed="false">
      <c r="A10" s="5" t="s">
        <v>243</v>
      </c>
      <c r="B10" s="6"/>
      <c r="C10" s="6"/>
      <c r="D10" s="6"/>
      <c r="E10" s="6"/>
      <c r="F10" s="6"/>
      <c r="G10" s="6"/>
      <c r="H10" s="6"/>
      <c r="I10" s="6"/>
      <c r="J10" s="6"/>
    </row>
    <row r="11" customFormat="false" ht="15" hidden="false" customHeight="false" outlineLevel="0" collapsed="false">
      <c r="A11" s="7" t="s">
        <v>244</v>
      </c>
      <c r="B11" s="28" t="n">
        <f aca="false">B3</f>
        <v>300</v>
      </c>
      <c r="C11" s="28" t="n">
        <f aca="false">MAX(0,C3-B3*(1-Zalozenia!$B$44))</f>
        <v>820</v>
      </c>
      <c r="D11" s="28" t="n">
        <f aca="false">MAX(0,D3-C3*(1-Zalozenia!$B$44))</f>
        <v>1900</v>
      </c>
      <c r="E11" s="28" t="n">
        <f aca="false">E3</f>
        <v>800</v>
      </c>
      <c r="F11" s="28" t="n">
        <f aca="false">MAX(0,F3-E3*(1-Zalozenia!$B$44))</f>
        <v>3520</v>
      </c>
      <c r="G11" s="28" t="n">
        <f aca="false">MAX(0,G3-F3*(1-Zalozenia!$B$44))</f>
        <v>9600</v>
      </c>
      <c r="H11" s="28" t="n">
        <f aca="false">H3</f>
        <v>2000</v>
      </c>
      <c r="I11" s="28" t="n">
        <f aca="false">MAX(0,I3-H3*(1-Zalozenia!$B$44))</f>
        <v>8800</v>
      </c>
      <c r="J11" s="28" t="n">
        <f aca="false">MAX(0,J3-I3*(1-Zalozenia!$B$44))</f>
        <v>24000</v>
      </c>
    </row>
    <row r="12" customFormat="false" ht="15" hidden="false" customHeight="false" outlineLevel="0" collapsed="false">
      <c r="A12" s="7" t="s">
        <v>245</v>
      </c>
      <c r="B12" s="28" t="n">
        <f aca="false">B3*Zalozenia!$B$20*Zalozenia!$B$21</f>
        <v>1800</v>
      </c>
      <c r="C12" s="28" t="n">
        <f aca="false">C3*Zalozenia!$B$20*Zalozenia!$B$21</f>
        <v>6000</v>
      </c>
      <c r="D12" s="28" t="n">
        <f aca="false">D3*Zalozenia!$B$20*Zalozenia!$B$21</f>
        <v>15000</v>
      </c>
      <c r="E12" s="28" t="n">
        <f aca="false">E3*Zalozenia!$B$20*Zalozenia!$B$21</f>
        <v>4800</v>
      </c>
      <c r="F12" s="28" t="n">
        <f aca="false">F3*Zalozenia!$B$20*Zalozenia!$B$21</f>
        <v>24000</v>
      </c>
      <c r="G12" s="28" t="n">
        <f aca="false">G3*Zalozenia!$B$20*Zalozenia!$B$21</f>
        <v>72000</v>
      </c>
      <c r="H12" s="28" t="n">
        <f aca="false">H3*Zalozenia!$B$20*Zalozenia!$B$21</f>
        <v>12000</v>
      </c>
      <c r="I12" s="28" t="n">
        <f aca="false">I3*Zalozenia!$B$20*Zalozenia!$B$21</f>
        <v>60000</v>
      </c>
      <c r="J12" s="28" t="n">
        <f aca="false">J3*Zalozenia!$B$20*Zalozenia!$B$21</f>
        <v>180000</v>
      </c>
    </row>
    <row r="13" customFormat="false" ht="15" hidden="false" customHeight="false" outlineLevel="0" collapsed="false">
      <c r="A13" s="7" t="s">
        <v>246</v>
      </c>
      <c r="B13" s="24" t="n">
        <f aca="false">B12*Zalozenia!$B$8</f>
        <v>54000</v>
      </c>
      <c r="C13" s="24" t="n">
        <f aca="false">C12*Zalozenia!$B$8</f>
        <v>180000</v>
      </c>
      <c r="D13" s="24" t="n">
        <f aca="false">D12*Zalozenia!$B$8</f>
        <v>450000</v>
      </c>
      <c r="E13" s="24" t="n">
        <f aca="false">E12*Zalozenia!$B$8</f>
        <v>144000</v>
      </c>
      <c r="F13" s="24" t="n">
        <f aca="false">F12*Zalozenia!$B$8</f>
        <v>720000</v>
      </c>
      <c r="G13" s="24" t="n">
        <f aca="false">G12*Zalozenia!$B$8</f>
        <v>2160000</v>
      </c>
      <c r="H13" s="24" t="n">
        <f aca="false">H12*Zalozenia!$B$8</f>
        <v>360000</v>
      </c>
      <c r="I13" s="24" t="n">
        <f aca="false">I12*Zalozenia!$B$8</f>
        <v>1800000</v>
      </c>
      <c r="J13" s="24" t="n">
        <f aca="false">J12*Zalozenia!$B$8</f>
        <v>5400000</v>
      </c>
    </row>
    <row r="14" customFormat="false" ht="15" hidden="false" customHeight="false" outlineLevel="0" collapsed="false">
      <c r="A14" s="5" t="s">
        <v>247</v>
      </c>
      <c r="B14" s="6"/>
      <c r="C14" s="6"/>
      <c r="D14" s="6"/>
      <c r="E14" s="6"/>
      <c r="F14" s="6"/>
      <c r="G14" s="6"/>
      <c r="H14" s="6"/>
      <c r="I14" s="6"/>
      <c r="J14" s="6"/>
    </row>
    <row r="15" customFormat="false" ht="15" hidden="false" customHeight="false" outlineLevel="0" collapsed="false">
      <c r="A15" s="7" t="s">
        <v>248</v>
      </c>
      <c r="B15" s="24" t="n">
        <f aca="false">B4*B12*Zalozenia!$B$55</f>
        <v>0</v>
      </c>
      <c r="C15" s="24" t="n">
        <f aca="false">C4*C12*Zalozenia!$B$55</f>
        <v>12576</v>
      </c>
      <c r="D15" s="24" t="n">
        <f aca="false">D4*D12*Zalozenia!$B$55</f>
        <v>31440</v>
      </c>
      <c r="E15" s="24" t="n">
        <f aca="false">E4*E12*Zalozenia!$B$55</f>
        <v>0</v>
      </c>
      <c r="F15" s="24" t="n">
        <f aca="false">F4*F12*Zalozenia!$B$55</f>
        <v>50304</v>
      </c>
      <c r="G15" s="24" t="n">
        <f aca="false">G4*G12*Zalozenia!$B$55</f>
        <v>150912</v>
      </c>
      <c r="H15" s="24" t="n">
        <f aca="false">H4*H12*Zalozenia!$B$55</f>
        <v>0</v>
      </c>
      <c r="I15" s="24" t="n">
        <f aca="false">I4*I12*Zalozenia!$B$55</f>
        <v>125760</v>
      </c>
      <c r="J15" s="24" t="n">
        <f aca="false">J4*J12*Zalozenia!$B$55</f>
        <v>377280</v>
      </c>
    </row>
    <row r="16" customFormat="false" ht="15" hidden="false" customHeight="false" outlineLevel="0" collapsed="false">
      <c r="A16" s="7" t="s">
        <v>249</v>
      </c>
      <c r="B16" s="24" t="n">
        <f aca="false">IF(B3&gt;=Zalozenia!$B$33,B3*Zalozenia!$B$32,0)</f>
        <v>0</v>
      </c>
      <c r="C16" s="24" t="n">
        <f aca="false">IF(C3&gt;=Zalozenia!$B$33,C3*Zalozenia!$B$32,0)</f>
        <v>0</v>
      </c>
      <c r="D16" s="24" t="n">
        <f aca="false">IF(D3&gt;=Zalozenia!$B$33,D3*Zalozenia!$B$32,0)</f>
        <v>0</v>
      </c>
      <c r="E16" s="24" t="n">
        <f aca="false">IF(E3&gt;=Zalozenia!$B$33,E3*Zalozenia!$B$32,0)</f>
        <v>0</v>
      </c>
      <c r="F16" s="24" t="n">
        <f aca="false">IF(F3&gt;=Zalozenia!$B$33,F3*Zalozenia!$B$32,0)</f>
        <v>0</v>
      </c>
      <c r="G16" s="24" t="n">
        <f aca="false">IF(G3&gt;=Zalozenia!$B$33,G3*Zalozenia!$B$32,0)</f>
        <v>60000</v>
      </c>
      <c r="H16" s="24" t="n">
        <f aca="false">IF(H3&gt;=Zalozenia!$B$33,H3*Zalozenia!$B$32,0)</f>
        <v>0</v>
      </c>
      <c r="I16" s="24" t="n">
        <f aca="false">IF(I3&gt;=Zalozenia!$B$33,I3*Zalozenia!$B$32,0)</f>
        <v>50000</v>
      </c>
      <c r="J16" s="24" t="n">
        <f aca="false">IF(J3&gt;=Zalozenia!$B$33,J3*Zalozenia!$B$32,0)</f>
        <v>150000</v>
      </c>
    </row>
    <row r="17" customFormat="false" ht="15" hidden="false" customHeight="false" outlineLevel="0" collapsed="false">
      <c r="A17" s="7" t="s">
        <v>250</v>
      </c>
      <c r="B17" s="24" t="n">
        <f aca="false">ROUNDDOWN(B3/Zalozenia!$B$35,0)*Zalozenia!$B$34</f>
        <v>0</v>
      </c>
      <c r="C17" s="24" t="n">
        <f aca="false">ROUNDDOWN(C3/Zalozenia!$B$35,0)*Zalozenia!$B$34</f>
        <v>0</v>
      </c>
      <c r="D17" s="24" t="n">
        <f aca="false">ROUNDDOWN(D3/Zalozenia!$B$35,0)*Zalozenia!$B$34</f>
        <v>0</v>
      </c>
      <c r="E17" s="24" t="n">
        <f aca="false">ROUNDDOWN(E3/Zalozenia!$B$35,0)*Zalozenia!$B$34</f>
        <v>0</v>
      </c>
      <c r="F17" s="24" t="n">
        <f aca="false">ROUNDDOWN(F3/Zalozenia!$B$35,0)*Zalozenia!$B$34</f>
        <v>0</v>
      </c>
      <c r="G17" s="24" t="n">
        <f aca="false">ROUNDDOWN(G3/Zalozenia!$B$35,0)*Zalozenia!$B$34</f>
        <v>30000</v>
      </c>
      <c r="H17" s="24" t="n">
        <f aca="false">ROUNDDOWN(H3/Zalozenia!$B$35,0)*Zalozenia!$B$34</f>
        <v>0</v>
      </c>
      <c r="I17" s="24" t="n">
        <f aca="false">ROUNDDOWN(I3/Zalozenia!$B$35,0)*Zalozenia!$B$34</f>
        <v>30000</v>
      </c>
      <c r="J17" s="24" t="n">
        <f aca="false">ROUNDDOWN(J3/Zalozenia!$B$35,0)*Zalozenia!$B$34</f>
        <v>90000</v>
      </c>
    </row>
    <row r="18" customFormat="false" ht="15" hidden="false" customHeight="false" outlineLevel="0" collapsed="false">
      <c r="A18" s="7" t="s">
        <v>251</v>
      </c>
      <c r="B18" s="24" t="n">
        <f aca="false">B3*Zalozenia!$B$36</f>
        <v>600</v>
      </c>
      <c r="C18" s="24" t="n">
        <f aca="false">C3*Zalozenia!$B$36</f>
        <v>2000</v>
      </c>
      <c r="D18" s="24" t="n">
        <f aca="false">D3*Zalozenia!$B$36</f>
        <v>5000</v>
      </c>
      <c r="E18" s="24" t="n">
        <f aca="false">E3*Zalozenia!$B$36</f>
        <v>1600</v>
      </c>
      <c r="F18" s="24" t="n">
        <f aca="false">F3*Zalozenia!$B$36</f>
        <v>8000</v>
      </c>
      <c r="G18" s="24" t="n">
        <f aca="false">G3*Zalozenia!$B$36</f>
        <v>24000</v>
      </c>
      <c r="H18" s="24" t="n">
        <f aca="false">H3*Zalozenia!$B$36</f>
        <v>4000</v>
      </c>
      <c r="I18" s="24" t="n">
        <f aca="false">I3*Zalozenia!$B$36</f>
        <v>20000</v>
      </c>
      <c r="J18" s="24" t="n">
        <f aca="false">J3*Zalozenia!$B$36</f>
        <v>60000</v>
      </c>
    </row>
    <row r="19" customFormat="false" ht="15" hidden="false" customHeight="false" outlineLevel="0" collapsed="false">
      <c r="A19" s="3" t="s">
        <v>252</v>
      </c>
      <c r="B19" s="25" t="n">
        <f aca="false">SUM(B15:B18)</f>
        <v>600</v>
      </c>
      <c r="C19" s="25" t="n">
        <f aca="false">SUM(C15:C18)</f>
        <v>14576</v>
      </c>
      <c r="D19" s="25" t="n">
        <f aca="false">SUM(D15:D18)</f>
        <v>36440</v>
      </c>
      <c r="E19" s="25" t="n">
        <f aca="false">SUM(E15:E18)</f>
        <v>1600</v>
      </c>
      <c r="F19" s="25" t="n">
        <f aca="false">SUM(F15:F18)</f>
        <v>58304</v>
      </c>
      <c r="G19" s="25" t="n">
        <f aca="false">SUM(G15:G18)</f>
        <v>264912</v>
      </c>
      <c r="H19" s="25" t="n">
        <f aca="false">SUM(H15:H18)</f>
        <v>4000</v>
      </c>
      <c r="I19" s="25" t="n">
        <f aca="false">SUM(I15:I18)</f>
        <v>225760</v>
      </c>
      <c r="J19" s="25" t="n">
        <f aca="false">SUM(J15:J18)</f>
        <v>677280</v>
      </c>
    </row>
    <row r="20" customFormat="false" ht="15" hidden="false" customHeight="false" outlineLevel="0" collapsed="false">
      <c r="A20" s="5" t="s">
        <v>94</v>
      </c>
      <c r="B20" s="6"/>
      <c r="C20" s="6"/>
      <c r="D20" s="6"/>
      <c r="E20" s="6"/>
      <c r="F20" s="6"/>
      <c r="G20" s="6"/>
      <c r="H20" s="6"/>
      <c r="I20" s="6"/>
      <c r="J20" s="6"/>
    </row>
    <row r="21" customFormat="false" ht="15" hidden="false" customHeight="false" outlineLevel="0" collapsed="false">
      <c r="A21" s="7" t="s">
        <v>253</v>
      </c>
      <c r="B21" s="24" t="n">
        <f aca="false">B5</f>
        <v>10000</v>
      </c>
      <c r="C21" s="24" t="n">
        <f aca="false">C5</f>
        <v>20000</v>
      </c>
      <c r="D21" s="24" t="n">
        <f aca="false">D5</f>
        <v>30000</v>
      </c>
      <c r="E21" s="24" t="n">
        <f aca="false">E5</f>
        <v>30000</v>
      </c>
      <c r="F21" s="24" t="n">
        <f aca="false">F5</f>
        <v>60000</v>
      </c>
      <c r="G21" s="24" t="n">
        <f aca="false">G5</f>
        <v>100000</v>
      </c>
      <c r="H21" s="24" t="n">
        <f aca="false">H5</f>
        <v>150000</v>
      </c>
      <c r="I21" s="24" t="n">
        <f aca="false">I5</f>
        <v>150000</v>
      </c>
      <c r="J21" s="24" t="n">
        <f aca="false">J5</f>
        <v>200000</v>
      </c>
    </row>
    <row r="22" customFormat="false" ht="15" hidden="false" customHeight="false" outlineLevel="0" collapsed="false">
      <c r="A22" s="7" t="s">
        <v>254</v>
      </c>
      <c r="B22" s="24" t="n">
        <f aca="false">B11*(1-Zalozenia!$B$43)*Zalozenia!$B$54</f>
        <v>3929.4</v>
      </c>
      <c r="C22" s="24" t="n">
        <f aca="false">C11*(1-Zalozenia!$B$43)*Zalozenia!$B$54</f>
        <v>10740.36</v>
      </c>
      <c r="D22" s="24" t="n">
        <f aca="false">D11*(1-Zalozenia!$B$43)*Zalozenia!$B$54</f>
        <v>24886.2</v>
      </c>
      <c r="E22" s="24" t="n">
        <f aca="false">E11*(1-Zalozenia!$B$43)*Zalozenia!$B$54</f>
        <v>10478.4</v>
      </c>
      <c r="F22" s="24" t="n">
        <f aca="false">F11*(1-Zalozenia!$B$43)*Zalozenia!$B$54</f>
        <v>46104.96</v>
      </c>
      <c r="G22" s="24" t="n">
        <f aca="false">G11*(1-Zalozenia!$B$43)*Zalozenia!$B$54</f>
        <v>125740.8</v>
      </c>
      <c r="H22" s="24" t="n">
        <f aca="false">H11*(1-Zalozenia!$B$43)*Zalozenia!$B$54</f>
        <v>26196</v>
      </c>
      <c r="I22" s="24" t="n">
        <f aca="false">I11*(1-Zalozenia!$B$43)*Zalozenia!$B$54</f>
        <v>115262.4</v>
      </c>
      <c r="J22" s="24" t="n">
        <f aca="false">J11*(1-Zalozenia!$B$43)*Zalozenia!$B$54</f>
        <v>314352</v>
      </c>
    </row>
    <row r="23" customFormat="false" ht="15" hidden="false" customHeight="false" outlineLevel="0" collapsed="false">
      <c r="A23" s="7" t="s">
        <v>255</v>
      </c>
      <c r="B23" s="24" t="n">
        <f aca="false">B6</f>
        <v>2000</v>
      </c>
      <c r="C23" s="24" t="n">
        <f aca="false">C6</f>
        <v>5000</v>
      </c>
      <c r="D23" s="24" t="n">
        <f aca="false">D6</f>
        <v>8000</v>
      </c>
      <c r="E23" s="24" t="n">
        <f aca="false">E6</f>
        <v>5000</v>
      </c>
      <c r="F23" s="24" t="n">
        <f aca="false">F6</f>
        <v>15000</v>
      </c>
      <c r="G23" s="24" t="n">
        <f aca="false">G6</f>
        <v>30000</v>
      </c>
      <c r="H23" s="24" t="n">
        <f aca="false">H6</f>
        <v>10000</v>
      </c>
      <c r="I23" s="24" t="n">
        <f aca="false">I6</f>
        <v>30000</v>
      </c>
      <c r="J23" s="24" t="n">
        <f aca="false">J6</f>
        <v>60000</v>
      </c>
    </row>
    <row r="24" customFormat="false" ht="15" hidden="false" customHeight="false" outlineLevel="0" collapsed="false">
      <c r="A24" s="7" t="s">
        <v>256</v>
      </c>
      <c r="B24" s="24" t="n">
        <f aca="false">B7</f>
        <v>8000</v>
      </c>
      <c r="C24" s="24" t="n">
        <f aca="false">C7</f>
        <v>3000</v>
      </c>
      <c r="D24" s="24" t="n">
        <f aca="false">D7</f>
        <v>3000</v>
      </c>
      <c r="E24" s="24" t="n">
        <f aca="false">E7</f>
        <v>12000</v>
      </c>
      <c r="F24" s="24" t="n">
        <f aca="false">F7</f>
        <v>5000</v>
      </c>
      <c r="G24" s="24" t="n">
        <f aca="false">G7</f>
        <v>8000</v>
      </c>
      <c r="H24" s="24" t="n">
        <f aca="false">H7</f>
        <v>15000</v>
      </c>
      <c r="I24" s="24" t="n">
        <f aca="false">I7</f>
        <v>8000</v>
      </c>
      <c r="J24" s="24" t="n">
        <f aca="false">J7</f>
        <v>10000</v>
      </c>
    </row>
    <row r="25" customFormat="false" ht="15" hidden="false" customHeight="false" outlineLevel="0" collapsed="false">
      <c r="A25" s="7" t="s">
        <v>257</v>
      </c>
      <c r="B25" s="24" t="n">
        <f aca="false">Zalozenia!$B$49</f>
        <v>6000</v>
      </c>
      <c r="C25" s="24" t="n">
        <f aca="false">Zalozenia!$B$49</f>
        <v>6000</v>
      </c>
      <c r="D25" s="24" t="n">
        <f aca="false">Zalozenia!$B$49</f>
        <v>6000</v>
      </c>
      <c r="E25" s="24" t="n">
        <f aca="false">Zalozenia!$B$49</f>
        <v>6000</v>
      </c>
      <c r="F25" s="24" t="n">
        <f aca="false">Zalozenia!$B$49</f>
        <v>6000</v>
      </c>
      <c r="G25" s="24" t="n">
        <f aca="false">Zalozenia!$B$49</f>
        <v>6000</v>
      </c>
      <c r="H25" s="24" t="n">
        <f aca="false">Zalozenia!$B$49</f>
        <v>6000</v>
      </c>
      <c r="I25" s="24" t="n">
        <f aca="false">Zalozenia!$B$49</f>
        <v>6000</v>
      </c>
      <c r="J25" s="24" t="n">
        <f aca="false">Zalozenia!$B$49</f>
        <v>6000</v>
      </c>
    </row>
    <row r="26" customFormat="false" ht="15" hidden="false" customHeight="false" outlineLevel="0" collapsed="false">
      <c r="A26" s="7" t="s">
        <v>258</v>
      </c>
      <c r="B26" s="24" t="n">
        <f aca="false">Zalozenia!$B$45+Zalozenia!$B$48+B3*Zalozenia!$B$46</f>
        <v>4400</v>
      </c>
      <c r="C26" s="24" t="n">
        <f aca="false">Zalozenia!$B$45+Zalozenia!$B$48+C3*Zalozenia!$B$46</f>
        <v>5100</v>
      </c>
      <c r="D26" s="24" t="n">
        <f aca="false">Zalozenia!$B$45+Zalozenia!$B$48+D3*Zalozenia!$B$46</f>
        <v>6600</v>
      </c>
      <c r="E26" s="24" t="n">
        <f aca="false">Zalozenia!$B$45+Zalozenia!$B$48+E3*Zalozenia!$B$46</f>
        <v>4900</v>
      </c>
      <c r="F26" s="24" t="n">
        <f aca="false">Zalozenia!$B$45+Zalozenia!$B$48+F3*Zalozenia!$B$46</f>
        <v>8100</v>
      </c>
      <c r="G26" s="24" t="n">
        <f aca="false">Zalozenia!$B$45+Zalozenia!$B$48+G3*Zalozenia!$B$46</f>
        <v>16100</v>
      </c>
      <c r="H26" s="24" t="n">
        <f aca="false">Zalozenia!$B$45+Zalozenia!$B$48+H3*Zalozenia!$B$46</f>
        <v>6100</v>
      </c>
      <c r="I26" s="24" t="n">
        <f aca="false">Zalozenia!$B$45+Zalozenia!$B$48+I3*Zalozenia!$B$46</f>
        <v>14100</v>
      </c>
      <c r="J26" s="24" t="n">
        <f aca="false">Zalozenia!$B$45+Zalozenia!$B$48+J3*Zalozenia!$B$46</f>
        <v>34100</v>
      </c>
    </row>
    <row r="27" customFormat="false" ht="15" hidden="false" customHeight="false" outlineLevel="0" collapsed="false">
      <c r="A27" s="7" t="s">
        <v>259</v>
      </c>
      <c r="B27" s="24" t="n">
        <f aca="false">Zalozenia!$B$50</f>
        <v>3000</v>
      </c>
      <c r="C27" s="24" t="n">
        <f aca="false">Zalozenia!$B$50</f>
        <v>3000</v>
      </c>
      <c r="D27" s="24" t="n">
        <f aca="false">Zalozenia!$B$50</f>
        <v>3000</v>
      </c>
      <c r="E27" s="24" t="n">
        <f aca="false">Zalozenia!$B$50</f>
        <v>3000</v>
      </c>
      <c r="F27" s="24" t="n">
        <f aca="false">Zalozenia!$B$50</f>
        <v>3000</v>
      </c>
      <c r="G27" s="24" t="n">
        <f aca="false">Zalozenia!$B$50</f>
        <v>3000</v>
      </c>
      <c r="H27" s="24" t="n">
        <f aca="false">Zalozenia!$B$50</f>
        <v>3000</v>
      </c>
      <c r="I27" s="24" t="n">
        <f aca="false">Zalozenia!$B$50</f>
        <v>3000</v>
      </c>
      <c r="J27" s="24" t="n">
        <f aca="false">Zalozenia!$B$50</f>
        <v>3000</v>
      </c>
    </row>
    <row r="28" customFormat="false" ht="15" hidden="false" customHeight="false" outlineLevel="0" collapsed="false">
      <c r="A28" s="7" t="s">
        <v>260</v>
      </c>
      <c r="B28" s="24" t="n">
        <f aca="false">B3*Zalozenia!$B$47</f>
        <v>900</v>
      </c>
      <c r="C28" s="24" t="n">
        <f aca="false">C3*Zalozenia!$B$47</f>
        <v>3000</v>
      </c>
      <c r="D28" s="24" t="n">
        <f aca="false">D3*Zalozenia!$B$47</f>
        <v>7500</v>
      </c>
      <c r="E28" s="24" t="n">
        <f aca="false">E3*Zalozenia!$B$47</f>
        <v>2400</v>
      </c>
      <c r="F28" s="24" t="n">
        <f aca="false">F3*Zalozenia!$B$47</f>
        <v>12000</v>
      </c>
      <c r="G28" s="24" t="n">
        <f aca="false">G3*Zalozenia!$B$47</f>
        <v>36000</v>
      </c>
      <c r="H28" s="24" t="n">
        <f aca="false">H3*Zalozenia!$B$47</f>
        <v>6000</v>
      </c>
      <c r="I28" s="24" t="n">
        <f aca="false">I3*Zalozenia!$B$47</f>
        <v>30000</v>
      </c>
      <c r="J28" s="24" t="n">
        <f aca="false">J3*Zalozenia!$B$47</f>
        <v>90000</v>
      </c>
    </row>
    <row r="29" customFormat="false" ht="15" hidden="false" customHeight="false" outlineLevel="0" collapsed="false">
      <c r="A29" s="7" t="s">
        <v>261</v>
      </c>
      <c r="B29" s="24" t="n">
        <f aca="false">B8</f>
        <v>0</v>
      </c>
      <c r="C29" s="24" t="n">
        <f aca="false">C8</f>
        <v>0</v>
      </c>
      <c r="D29" s="24" t="n">
        <f aca="false">D8</f>
        <v>0</v>
      </c>
      <c r="E29" s="24" t="n">
        <f aca="false">E8</f>
        <v>0</v>
      </c>
      <c r="F29" s="24" t="n">
        <f aca="false">F8</f>
        <v>120000</v>
      </c>
      <c r="G29" s="24" t="n">
        <f aca="false">G8</f>
        <v>240000</v>
      </c>
      <c r="H29" s="24" t="n">
        <f aca="false">H8</f>
        <v>60000</v>
      </c>
      <c r="I29" s="24" t="n">
        <f aca="false">I8</f>
        <v>360000</v>
      </c>
      <c r="J29" s="24" t="n">
        <f aca="false">J8</f>
        <v>600000</v>
      </c>
    </row>
    <row r="30" customFormat="false" ht="15" hidden="false" customHeight="false" outlineLevel="0" collapsed="false">
      <c r="A30" s="3" t="s">
        <v>262</v>
      </c>
      <c r="B30" s="25" t="n">
        <f aca="false">SUM(B21:B29)</f>
        <v>38229.4</v>
      </c>
      <c r="C30" s="25" t="n">
        <f aca="false">SUM(C21:C29)</f>
        <v>55840.36</v>
      </c>
      <c r="D30" s="25" t="n">
        <f aca="false">SUM(D21:D29)</f>
        <v>88986.2</v>
      </c>
      <c r="E30" s="25" t="n">
        <f aca="false">SUM(E21:E29)</f>
        <v>73778.4</v>
      </c>
      <c r="F30" s="25" t="n">
        <f aca="false">SUM(F21:F29)</f>
        <v>275204.96</v>
      </c>
      <c r="G30" s="25" t="n">
        <f aca="false">SUM(G21:G29)</f>
        <v>564840.8</v>
      </c>
      <c r="H30" s="25" t="n">
        <f aca="false">SUM(H21:H29)</f>
        <v>282296</v>
      </c>
      <c r="I30" s="25" t="n">
        <f aca="false">SUM(I21:I29)</f>
        <v>716362.4</v>
      </c>
      <c r="J30" s="25" t="n">
        <f aca="false">SUM(J21:J29)</f>
        <v>1317452</v>
      </c>
    </row>
    <row r="31" customFormat="false" ht="15" hidden="false" customHeight="false" outlineLevel="0" collapsed="false">
      <c r="A31" s="5" t="s">
        <v>263</v>
      </c>
      <c r="B31" s="6"/>
      <c r="C31" s="6"/>
      <c r="D31" s="6"/>
      <c r="E31" s="6"/>
      <c r="F31" s="6"/>
      <c r="G31" s="6"/>
      <c r="H31" s="6"/>
      <c r="I31" s="6"/>
      <c r="J31" s="6"/>
    </row>
    <row r="32" customFormat="false" ht="15" hidden="false" customHeight="false" outlineLevel="0" collapsed="false">
      <c r="A32" s="3" t="s">
        <v>264</v>
      </c>
      <c r="B32" s="25" t="n">
        <f aca="false">B19-B30</f>
        <v>-37629.4</v>
      </c>
      <c r="C32" s="25" t="n">
        <f aca="false">C19-C30</f>
        <v>-41264.36</v>
      </c>
      <c r="D32" s="25" t="n">
        <f aca="false">D19-D30</f>
        <v>-52546.2</v>
      </c>
      <c r="E32" s="25" t="n">
        <f aca="false">E19-E30</f>
        <v>-72178.4</v>
      </c>
      <c r="F32" s="25" t="n">
        <f aca="false">F19-F30</f>
        <v>-216900.96</v>
      </c>
      <c r="G32" s="25" t="n">
        <f aca="false">G19-G30</f>
        <v>-299928.8</v>
      </c>
      <c r="H32" s="25" t="n">
        <f aca="false">H19-H30</f>
        <v>-278296</v>
      </c>
      <c r="I32" s="25" t="n">
        <f aca="false">I19-I30</f>
        <v>-490602.4</v>
      </c>
      <c r="J32" s="25" t="n">
        <f aca="false">J19-J30</f>
        <v>-640172</v>
      </c>
    </row>
    <row r="33" customFormat="false" ht="26.85" hidden="false" customHeight="false" outlineLevel="0" collapsed="false">
      <c r="A33" s="3" t="s">
        <v>265</v>
      </c>
      <c r="B33" s="25" t="n">
        <f aca="false">B32</f>
        <v>-37629.4</v>
      </c>
      <c r="C33" s="25" t="n">
        <f aca="false">B33+C32</f>
        <v>-78893.76</v>
      </c>
      <c r="D33" s="25" t="n">
        <f aca="false">C33+D32</f>
        <v>-131439.96</v>
      </c>
      <c r="E33" s="25" t="n">
        <f aca="false">E32</f>
        <v>-72178.4</v>
      </c>
      <c r="F33" s="25" t="n">
        <f aca="false">E33+F32</f>
        <v>-289079.36</v>
      </c>
      <c r="G33" s="25" t="n">
        <f aca="false">F33+G32</f>
        <v>-589008.16</v>
      </c>
      <c r="H33" s="25" t="n">
        <f aca="false">H32</f>
        <v>-278296</v>
      </c>
      <c r="I33" s="25" t="n">
        <f aca="false">H33+I32</f>
        <v>-768898.4</v>
      </c>
      <c r="J33" s="25" t="n">
        <f aca="false">I33+J32</f>
        <v>-1409070.4</v>
      </c>
    </row>
    <row r="34" customFormat="false" ht="15" hidden="false" customHeight="false" outlineLevel="0" collapsed="false">
      <c r="A34" s="7" t="s">
        <v>266</v>
      </c>
      <c r="B34" s="29" t="n">
        <f aca="false">IF(B30=0,0,B19/B30)</f>
        <v>0.0156947270948537</v>
      </c>
      <c r="C34" s="29" t="n">
        <f aca="false">IF(C30=0,0,C19/C30)</f>
        <v>0.261029835767534</v>
      </c>
      <c r="D34" s="29" t="n">
        <f aca="false">IF(D30=0,0,D19/D30)</f>
        <v>0.409501698016097</v>
      </c>
      <c r="E34" s="29" t="n">
        <f aca="false">IF(E30=0,0,E19/E30)</f>
        <v>0.0216865640892185</v>
      </c>
      <c r="F34" s="29" t="n">
        <f aca="false">IF(F30=0,0,F19/F30)</f>
        <v>0.211856646769738</v>
      </c>
      <c r="G34" s="29" t="n">
        <f aca="false">IF(G30=0,0,G19/G30)</f>
        <v>0.469002947379155</v>
      </c>
      <c r="H34" s="29" t="n">
        <f aca="false">IF(H30=0,0,H19/H30)</f>
        <v>0.0141695241873778</v>
      </c>
      <c r="I34" s="29" t="n">
        <f aca="false">IF(I30=0,0,I19/I30)</f>
        <v>0.315147752031653</v>
      </c>
      <c r="J34" s="29" t="n">
        <f aca="false">IF(J30=0,0,J19/J30)</f>
        <v>0.514083245537598</v>
      </c>
    </row>
    <row r="35" customFormat="false" ht="15" hidden="false" customHeight="false" outlineLevel="0" collapsed="false">
      <c r="A35" s="5" t="s">
        <v>267</v>
      </c>
      <c r="B35" s="6"/>
      <c r="C35" s="6"/>
      <c r="D35" s="6"/>
      <c r="E35" s="6"/>
      <c r="F35" s="6"/>
      <c r="G35" s="6"/>
      <c r="H35" s="6"/>
      <c r="I35" s="6"/>
      <c r="J35" s="6"/>
    </row>
    <row r="36" customFormat="false" ht="26.85" hidden="false" customHeight="false" outlineLevel="0" collapsed="false">
      <c r="A36" s="7" t="s">
        <v>268</v>
      </c>
      <c r="B36" s="24" t="n">
        <f aca="false">B21+B23+B24+B25+Zalozenia!$B$45+Zalozenia!$B$48+B27+B29</f>
        <v>33100</v>
      </c>
      <c r="C36" s="24" t="n">
        <f aca="false">C21+C23+C24+C25+Zalozenia!$B$45+Zalozenia!$B$48+C27+C29</f>
        <v>41100</v>
      </c>
      <c r="D36" s="24" t="n">
        <f aca="false">D21+D23+D24+D25+Zalozenia!$B$45+Zalozenia!$B$48+D27+D29</f>
        <v>54100</v>
      </c>
      <c r="E36" s="24" t="n">
        <f aca="false">E21+E23+E24+E25+Zalozenia!$B$45+Zalozenia!$B$48+E27+E29</f>
        <v>60100</v>
      </c>
      <c r="F36" s="24" t="n">
        <f aca="false">F21+F23+F24+F25+Zalozenia!$B$45+Zalozenia!$B$48+F27+F29</f>
        <v>213100</v>
      </c>
      <c r="G36" s="24" t="n">
        <f aca="false">G21+G23+G24+G25+Zalozenia!$B$45+Zalozenia!$B$48+G27+G29</f>
        <v>391100</v>
      </c>
      <c r="H36" s="24" t="n">
        <f aca="false">H21+H23+H24+H25+Zalozenia!$B$45+Zalozenia!$B$48+H27+H29</f>
        <v>248100</v>
      </c>
      <c r="I36" s="24" t="n">
        <f aca="false">I21+I23+I24+I25+Zalozenia!$B$45+Zalozenia!$B$48+I27+I29</f>
        <v>561100</v>
      </c>
      <c r="J36" s="24" t="n">
        <f aca="false">J21+J23+J24+J25+Zalozenia!$B$45+Zalozenia!$B$48+J27+J29</f>
        <v>883100</v>
      </c>
    </row>
    <row r="37" customFormat="false" ht="26.85" hidden="false" customHeight="false" outlineLevel="0" collapsed="false">
      <c r="A37" s="7" t="s">
        <v>269</v>
      </c>
      <c r="B37" s="23" t="n">
        <f aca="false">Zalozenia!$B$20*Zalozenia!$B$21*Zalozenia!$B$55+Zalozenia!$B$32+Zalozenia!$B$34/Zalozenia!$B$35+Zalozenia!$B$36</f>
        <v>22.576</v>
      </c>
      <c r="C37" s="23" t="n">
        <f aca="false">Zalozenia!$B$20*Zalozenia!$B$21*Zalozenia!$B$55+Zalozenia!$B$32+Zalozenia!$B$34/Zalozenia!$B$35+Zalozenia!$B$36</f>
        <v>22.576</v>
      </c>
      <c r="D37" s="23" t="n">
        <f aca="false">Zalozenia!$B$20*Zalozenia!$B$21*Zalozenia!$B$55+Zalozenia!$B$32+Zalozenia!$B$34/Zalozenia!$B$35+Zalozenia!$B$36</f>
        <v>22.576</v>
      </c>
      <c r="E37" s="23" t="n">
        <f aca="false">Zalozenia!$B$20*Zalozenia!$B$21*Zalozenia!$B$55+Zalozenia!$B$32+Zalozenia!$B$34/Zalozenia!$B$35+Zalozenia!$B$36</f>
        <v>22.576</v>
      </c>
      <c r="F37" s="23" t="n">
        <f aca="false">Zalozenia!$B$20*Zalozenia!$B$21*Zalozenia!$B$55+Zalozenia!$B$32+Zalozenia!$B$34/Zalozenia!$B$35+Zalozenia!$B$36</f>
        <v>22.576</v>
      </c>
      <c r="G37" s="23" t="n">
        <f aca="false">Zalozenia!$B$20*Zalozenia!$B$21*Zalozenia!$B$55+Zalozenia!$B$32+Zalozenia!$B$34/Zalozenia!$B$35+Zalozenia!$B$36</f>
        <v>22.576</v>
      </c>
      <c r="H37" s="23" t="n">
        <f aca="false">Zalozenia!$B$20*Zalozenia!$B$21*Zalozenia!$B$55+Zalozenia!$B$32+Zalozenia!$B$34/Zalozenia!$B$35+Zalozenia!$B$36</f>
        <v>22.576</v>
      </c>
      <c r="I37" s="23" t="n">
        <f aca="false">Zalozenia!$B$20*Zalozenia!$B$21*Zalozenia!$B$55+Zalozenia!$B$32+Zalozenia!$B$34/Zalozenia!$B$35+Zalozenia!$B$36</f>
        <v>22.576</v>
      </c>
      <c r="J37" s="23" t="n">
        <f aca="false">Zalozenia!$B$20*Zalozenia!$B$21*Zalozenia!$B$55+Zalozenia!$B$32+Zalozenia!$B$34/Zalozenia!$B$35+Zalozenia!$B$36</f>
        <v>22.576</v>
      </c>
    </row>
    <row r="38" customFormat="false" ht="26.85" hidden="false" customHeight="false" outlineLevel="0" collapsed="false">
      <c r="A38" s="7" t="s">
        <v>270</v>
      </c>
      <c r="B38" s="23" t="n">
        <f aca="false">Zalozenia!$B$46+Zalozenia!$B$47+Zalozenia!$B$44*(1-Zalozenia!$B$43)*Zalozenia!$B$54</f>
        <v>9.2392</v>
      </c>
      <c r="C38" s="23" t="n">
        <f aca="false">Zalozenia!$B$46+Zalozenia!$B$47+Zalozenia!$B$44*(1-Zalozenia!$B$43)*Zalozenia!$B$54</f>
        <v>9.2392</v>
      </c>
      <c r="D38" s="23" t="n">
        <f aca="false">Zalozenia!$B$46+Zalozenia!$B$47+Zalozenia!$B$44*(1-Zalozenia!$B$43)*Zalozenia!$B$54</f>
        <v>9.2392</v>
      </c>
      <c r="E38" s="23" t="n">
        <f aca="false">Zalozenia!$B$46+Zalozenia!$B$47+Zalozenia!$B$44*(1-Zalozenia!$B$43)*Zalozenia!$B$54</f>
        <v>9.2392</v>
      </c>
      <c r="F38" s="23" t="n">
        <f aca="false">Zalozenia!$B$46+Zalozenia!$B$47+Zalozenia!$B$44*(1-Zalozenia!$B$43)*Zalozenia!$B$54</f>
        <v>9.2392</v>
      </c>
      <c r="G38" s="23" t="n">
        <f aca="false">Zalozenia!$B$46+Zalozenia!$B$47+Zalozenia!$B$44*(1-Zalozenia!$B$43)*Zalozenia!$B$54</f>
        <v>9.2392</v>
      </c>
      <c r="H38" s="23" t="n">
        <f aca="false">Zalozenia!$B$46+Zalozenia!$B$47+Zalozenia!$B$44*(1-Zalozenia!$B$43)*Zalozenia!$B$54</f>
        <v>9.2392</v>
      </c>
      <c r="I38" s="23" t="n">
        <f aca="false">Zalozenia!$B$46+Zalozenia!$B$47+Zalozenia!$B$44*(1-Zalozenia!$B$43)*Zalozenia!$B$54</f>
        <v>9.2392</v>
      </c>
      <c r="J38" s="23" t="n">
        <f aca="false">Zalozenia!$B$46+Zalozenia!$B$47+Zalozenia!$B$44*(1-Zalozenia!$B$43)*Zalozenia!$B$54</f>
        <v>9.2392</v>
      </c>
    </row>
    <row r="39" customFormat="false" ht="15" hidden="false" customHeight="false" outlineLevel="0" collapsed="false">
      <c r="A39" s="3" t="s">
        <v>271</v>
      </c>
      <c r="B39" s="30" t="n">
        <f aca="false">IF(B37-B38&lt;=0,0,B36/(B37-B38))</f>
        <v>2481.85471777338</v>
      </c>
      <c r="C39" s="30" t="n">
        <f aca="false">IF(C37-C38&lt;=0,0,C36/(C37-C38))</f>
        <v>3081.69875832284</v>
      </c>
      <c r="D39" s="30" t="n">
        <f aca="false">IF(D37-D38&lt;=0,0,D36/(D37-D38))</f>
        <v>4056.44532421571</v>
      </c>
      <c r="E39" s="30" t="n">
        <f aca="false">IF(E37-E38&lt;=0,0,E36/(E37-E38))</f>
        <v>4506.3283546278</v>
      </c>
      <c r="F39" s="30" t="n">
        <f aca="false">IF(F37-F38&lt;=0,0,F36/(F37-F38))</f>
        <v>15978.3456301362</v>
      </c>
      <c r="G39" s="30" t="n">
        <f aca="false">IF(G37-G38&lt;=0,0,G36/(G37-G38))</f>
        <v>29324.8755323616</v>
      </c>
      <c r="H39" s="30" t="n">
        <f aca="false">IF(H37-H38&lt;=0,0,H36/(H37-H38))</f>
        <v>18602.66330754</v>
      </c>
      <c r="I39" s="30" t="n">
        <f aca="false">IF(I37-I38&lt;=0,0,I36/(I37-I38))</f>
        <v>42071.5613940376</v>
      </c>
      <c r="J39" s="30" t="n">
        <f aca="false">IF(J37-J38&lt;=0,0,J36/(J37-J38))</f>
        <v>66215.2840261532</v>
      </c>
    </row>
    <row r="40" customFormat="false" ht="15" hidden="false" customHeight="false" outlineLevel="0" collapsed="false">
      <c r="A40" s="7" t="s">
        <v>272</v>
      </c>
      <c r="B40" s="29" t="n">
        <f aca="false">B39/Rynek!$B$10</f>
        <v>0.0194662440140316</v>
      </c>
      <c r="C40" s="29" t="n">
        <f aca="false">C39/Rynek!$B$10</f>
        <v>0.0241710764041298</v>
      </c>
      <c r="D40" s="29" t="n">
        <f aca="false">D39/Rynek!$B$10</f>
        <v>0.0318164290380395</v>
      </c>
      <c r="E40" s="29" t="n">
        <f aca="false">E39/Rynek!$B$10</f>
        <v>0.0353450533306132</v>
      </c>
      <c r="F40" s="29" t="n">
        <f aca="false">F39/Rynek!$B$10</f>
        <v>0.125324972791243</v>
      </c>
      <c r="G40" s="29" t="n">
        <f aca="false">G39/Rynek!$B$10</f>
        <v>0.230007493470929</v>
      </c>
      <c r="H40" s="29" t="n">
        <f aca="false">H39/Rynek!$B$10</f>
        <v>0.145908614497922</v>
      </c>
      <c r="I40" s="29" t="n">
        <f aca="false">I39/Rynek!$B$10</f>
        <v>0.329985181760517</v>
      </c>
      <c r="J40" s="29" t="n">
        <f aca="false">J39/Rynek!$B$10</f>
        <v>0.519354685461972</v>
      </c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customFormat="false" ht="45" hidden="false" customHeight="true" outlineLevel="0" collapsed="false">
      <c r="A42" s="31" t="s">
        <v>273</v>
      </c>
      <c r="B42" s="9"/>
      <c r="C42" s="9"/>
      <c r="D42" s="9"/>
      <c r="E42" s="9"/>
      <c r="F42" s="9"/>
      <c r="G42" s="9"/>
      <c r="H42" s="9"/>
      <c r="I42" s="9"/>
      <c r="J42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7" min="4" style="0" width="14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70"/>
  </cols>
  <sheetData>
    <row r="1" customFormat="false" ht="15" hidden="false" customHeight="false" outlineLevel="0" collapsed="false">
      <c r="A1" s="22" t="s">
        <v>274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customFormat="false" ht="15" hidden="false" customHeight="false" outlineLevel="0" collapsed="false">
      <c r="A2" s="9" t="s">
        <v>275</v>
      </c>
      <c r="B2" s="32" t="n">
        <v>6.5</v>
      </c>
      <c r="C2" s="9" t="s">
        <v>276</v>
      </c>
      <c r="D2" s="9"/>
      <c r="E2" s="9"/>
      <c r="F2" s="9"/>
      <c r="G2" s="9"/>
      <c r="H2" s="9"/>
      <c r="I2" s="9"/>
      <c r="J2" s="9"/>
      <c r="K2" s="9"/>
    </row>
    <row r="3" customFormat="false" ht="15" hidden="false" customHeight="false" outlineLevel="0" collapsed="false">
      <c r="A3" s="9" t="s">
        <v>277</v>
      </c>
      <c r="B3" s="14" t="n">
        <v>6.79</v>
      </c>
      <c r="C3" s="9" t="s">
        <v>278</v>
      </c>
      <c r="D3" s="9"/>
      <c r="E3" s="9"/>
      <c r="F3" s="9"/>
      <c r="G3" s="9"/>
      <c r="H3" s="9"/>
      <c r="I3" s="9"/>
      <c r="J3" s="9"/>
      <c r="K3" s="9"/>
    </row>
    <row r="4" customFormat="false" ht="15" hidden="false" customHeight="false" outlineLevel="0" collapsed="false">
      <c r="A4" s="9" t="s">
        <v>279</v>
      </c>
      <c r="B4" s="13" t="n">
        <v>0.51</v>
      </c>
      <c r="C4" s="9" t="s">
        <v>280</v>
      </c>
      <c r="D4" s="9"/>
      <c r="E4" s="9"/>
      <c r="F4" s="9"/>
      <c r="G4" s="9"/>
      <c r="H4" s="9"/>
      <c r="I4" s="9"/>
      <c r="J4" s="9"/>
      <c r="K4" s="9"/>
    </row>
    <row r="5" customFormat="false" ht="15" hidden="false" customHeight="fals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customFormat="false" ht="39.55" hidden="false" customHeight="false" outlineLevel="0" collapsed="false">
      <c r="A6" s="26" t="s">
        <v>281</v>
      </c>
      <c r="B6" s="26" t="s">
        <v>282</v>
      </c>
      <c r="C6" s="26" t="s">
        <v>283</v>
      </c>
      <c r="D6" s="26" t="s">
        <v>284</v>
      </c>
      <c r="E6" s="26" t="s">
        <v>285</v>
      </c>
      <c r="F6" s="26" t="s">
        <v>286</v>
      </c>
      <c r="G6" s="26" t="s">
        <v>287</v>
      </c>
      <c r="H6" s="26" t="s">
        <v>288</v>
      </c>
      <c r="I6" s="26" t="s">
        <v>289</v>
      </c>
      <c r="J6" s="26" t="s">
        <v>290</v>
      </c>
      <c r="K6" s="26" t="s">
        <v>291</v>
      </c>
    </row>
    <row r="7" customFormat="false" ht="48" hidden="false" customHeight="true" outlineLevel="0" collapsed="false">
      <c r="A7" s="9" t="s">
        <v>292</v>
      </c>
      <c r="B7" s="32" t="n">
        <v>170</v>
      </c>
      <c r="C7" s="7" t="s">
        <v>293</v>
      </c>
      <c r="D7" s="14" t="n">
        <v>51</v>
      </c>
      <c r="E7" s="23" t="n">
        <f aca="false">D7*(1-$B$4)</f>
        <v>24.99</v>
      </c>
      <c r="F7" s="9" t="s">
        <v>294</v>
      </c>
      <c r="G7" s="9" t="s">
        <v>295</v>
      </c>
      <c r="H7" s="7" t="s">
        <v>296</v>
      </c>
      <c r="I7" s="23" t="n">
        <f aca="false">B7*$B$2/100*$B$3</f>
        <v>75.0295</v>
      </c>
      <c r="J7" s="23" t="n">
        <f aca="false">I7/4</f>
        <v>18.757375</v>
      </c>
      <c r="K7" s="7" t="s">
        <v>297</v>
      </c>
    </row>
    <row r="8" customFormat="false" ht="48" hidden="false" customHeight="true" outlineLevel="0" collapsed="false">
      <c r="A8" s="9" t="s">
        <v>298</v>
      </c>
      <c r="B8" s="32" t="n">
        <v>165</v>
      </c>
      <c r="C8" s="7" t="s">
        <v>299</v>
      </c>
      <c r="D8" s="14" t="n">
        <v>55</v>
      </c>
      <c r="E8" s="23" t="n">
        <f aca="false">D8*(1-$B$4)</f>
        <v>26.95</v>
      </c>
      <c r="F8" s="9" t="s">
        <v>300</v>
      </c>
      <c r="G8" s="9" t="s">
        <v>301</v>
      </c>
      <c r="H8" s="7" t="s">
        <v>296</v>
      </c>
      <c r="I8" s="23" t="n">
        <f aca="false">B8*$B$2/100*$B$3</f>
        <v>72.82275</v>
      </c>
      <c r="J8" s="23" t="n">
        <f aca="false">I8/4</f>
        <v>18.2056875</v>
      </c>
      <c r="K8" s="7" t="s">
        <v>302</v>
      </c>
    </row>
    <row r="9" customFormat="false" ht="48" hidden="false" customHeight="true" outlineLevel="0" collapsed="false">
      <c r="A9" s="9" t="s">
        <v>303</v>
      </c>
      <c r="B9" s="32" t="n">
        <v>95</v>
      </c>
      <c r="C9" s="7" t="s">
        <v>304</v>
      </c>
      <c r="D9" s="14" t="n">
        <v>33</v>
      </c>
      <c r="E9" s="23" t="n">
        <f aca="false">D9*(1-$B$4)</f>
        <v>16.17</v>
      </c>
      <c r="F9" s="9" t="s">
        <v>305</v>
      </c>
      <c r="G9" s="9" t="s">
        <v>306</v>
      </c>
      <c r="H9" s="7" t="s">
        <v>307</v>
      </c>
      <c r="I9" s="23" t="n">
        <f aca="false">B9*$B$2/100*$B$3</f>
        <v>41.92825</v>
      </c>
      <c r="J9" s="23" t="n">
        <f aca="false">I9/4</f>
        <v>10.4820625</v>
      </c>
      <c r="K9" s="7" t="s">
        <v>308</v>
      </c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customFormat="false" ht="30" hidden="false" customHeight="true" outlineLevel="0" collapsed="false">
      <c r="A11" s="33" t="s">
        <v>309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</row>
    <row r="12" customFormat="false" ht="34.5" hidden="false" customHeight="true" outlineLevel="0" collapsed="false">
      <c r="A12" s="33" t="s">
        <v>310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</row>
  </sheetData>
  <mergeCells count="2">
    <mergeCell ref="A11:K11"/>
    <mergeCell ref="A12:K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4" t="s">
        <v>311</v>
      </c>
      <c r="B1" s="4" t="s">
        <v>312</v>
      </c>
    </row>
    <row r="2" customFormat="false" ht="26.85" hidden="false" customHeight="false" outlineLevel="0" collapsed="false">
      <c r="A2" s="7" t="s">
        <v>313</v>
      </c>
      <c r="B2" s="9" t="s">
        <v>314</v>
      </c>
    </row>
    <row r="3" customFormat="false" ht="26.85" hidden="false" customHeight="false" outlineLevel="0" collapsed="false">
      <c r="A3" s="7" t="s">
        <v>315</v>
      </c>
      <c r="B3" s="9" t="s">
        <v>316</v>
      </c>
    </row>
    <row r="4" customFormat="false" ht="26.85" hidden="false" customHeight="false" outlineLevel="0" collapsed="false">
      <c r="A4" s="7" t="s">
        <v>317</v>
      </c>
      <c r="B4" s="9" t="s">
        <v>318</v>
      </c>
    </row>
    <row r="5" customFormat="false" ht="26.85" hidden="false" customHeight="false" outlineLevel="0" collapsed="false">
      <c r="A5" s="7" t="s">
        <v>319</v>
      </c>
      <c r="B5" s="9" t="s">
        <v>320</v>
      </c>
    </row>
    <row r="6" customFormat="false" ht="15" hidden="false" customHeight="false" outlineLevel="0" collapsed="false">
      <c r="A6" s="7" t="s">
        <v>321</v>
      </c>
      <c r="B6" s="9" t="s">
        <v>322</v>
      </c>
    </row>
    <row r="7" customFormat="false" ht="15" hidden="false" customHeight="false" outlineLevel="0" collapsed="false">
      <c r="A7" s="7" t="s">
        <v>323</v>
      </c>
      <c r="B7" s="9" t="s">
        <v>324</v>
      </c>
    </row>
    <row r="8" customFormat="false" ht="15" hidden="false" customHeight="false" outlineLevel="0" collapsed="false">
      <c r="A8" s="7" t="s">
        <v>325</v>
      </c>
      <c r="B8" s="9" t="s">
        <v>326</v>
      </c>
    </row>
    <row r="9" customFormat="false" ht="15" hidden="false" customHeight="false" outlineLevel="0" collapsed="false">
      <c r="A9" s="7" t="s">
        <v>327</v>
      </c>
      <c r="B9" s="9" t="s">
        <v>328</v>
      </c>
    </row>
    <row r="10" customFormat="false" ht="15" hidden="false" customHeight="false" outlineLevel="0" collapsed="false">
      <c r="A10" s="7" t="s">
        <v>329</v>
      </c>
      <c r="B10" s="9" t="s">
        <v>330</v>
      </c>
    </row>
    <row r="11" customFormat="false" ht="15" hidden="false" customHeight="false" outlineLevel="0" collapsed="false">
      <c r="A11" s="7" t="s">
        <v>331</v>
      </c>
      <c r="B11" s="9" t="s">
        <v>332</v>
      </c>
    </row>
    <row r="12" customFormat="false" ht="15" hidden="false" customHeight="false" outlineLevel="0" collapsed="false">
      <c r="A12" s="7" t="s">
        <v>333</v>
      </c>
      <c r="B12" s="9" t="s">
        <v>334</v>
      </c>
    </row>
    <row r="13" customFormat="false" ht="15" hidden="false" customHeight="false" outlineLevel="0" collapsed="false">
      <c r="A13" s="7" t="s">
        <v>335</v>
      </c>
      <c r="B13" s="9" t="s">
        <v>336</v>
      </c>
    </row>
    <row r="14" customFormat="false" ht="15" hidden="false" customHeight="false" outlineLevel="0" collapsed="false">
      <c r="A14" s="7" t="s">
        <v>337</v>
      </c>
      <c r="B14" s="9" t="s">
        <v>338</v>
      </c>
    </row>
    <row r="15" customFormat="false" ht="15" hidden="false" customHeight="false" outlineLevel="0" collapsed="false">
      <c r="A15" s="7" t="s">
        <v>339</v>
      </c>
      <c r="B15" s="9" t="s">
        <v>340</v>
      </c>
    </row>
    <row r="16" customFormat="false" ht="15" hidden="false" customHeight="false" outlineLevel="0" collapsed="false">
      <c r="A16" s="7" t="s">
        <v>341</v>
      </c>
      <c r="B16" s="9" t="s">
        <v>342</v>
      </c>
    </row>
    <row r="17" customFormat="false" ht="15" hidden="false" customHeight="false" outlineLevel="0" collapsed="false">
      <c r="A17" s="7" t="s">
        <v>343</v>
      </c>
      <c r="B17" s="9" t="s">
        <v>344</v>
      </c>
    </row>
    <row r="18" customFormat="false" ht="15" hidden="false" customHeight="false" outlineLevel="0" collapsed="false">
      <c r="A18" s="7" t="s">
        <v>345</v>
      </c>
      <c r="B18" s="9" t="s">
        <v>346</v>
      </c>
    </row>
    <row r="19" customFormat="false" ht="26.85" hidden="false" customHeight="false" outlineLevel="0" collapsed="false">
      <c r="A19" s="7" t="s">
        <v>347</v>
      </c>
      <c r="B19" s="9" t="s">
        <v>348</v>
      </c>
    </row>
    <row r="20" customFormat="false" ht="26.85" hidden="false" customHeight="false" outlineLevel="0" collapsed="false">
      <c r="A20" s="7" t="s">
        <v>349</v>
      </c>
      <c r="B20" s="9" t="s">
        <v>350</v>
      </c>
    </row>
    <row r="21" customFormat="false" ht="15" hidden="false" customHeight="false" outlineLevel="0" collapsed="false">
      <c r="A21" s="7" t="s">
        <v>351</v>
      </c>
      <c r="B21" s="9" t="s">
        <v>352</v>
      </c>
    </row>
    <row r="22" customFormat="false" ht="15" hidden="false" customHeight="false" outlineLevel="0" collapsed="false">
      <c r="A22" s="7" t="s">
        <v>353</v>
      </c>
      <c r="B22" s="9" t="s">
        <v>354</v>
      </c>
    </row>
    <row r="23" customFormat="false" ht="15" hidden="false" customHeight="false" outlineLevel="0" collapsed="false">
      <c r="A23" s="7" t="s">
        <v>355</v>
      </c>
      <c r="B23" s="9" t="s">
        <v>356</v>
      </c>
    </row>
    <row r="24" customFormat="false" ht="26.85" hidden="false" customHeight="false" outlineLevel="0" collapsed="false">
      <c r="A24" s="7" t="s">
        <v>357</v>
      </c>
      <c r="B24" s="9" t="s">
        <v>358</v>
      </c>
    </row>
    <row r="25" customFormat="false" ht="15" hidden="false" customHeight="false" outlineLevel="0" collapsed="false">
      <c r="A25" s="7" t="s">
        <v>359</v>
      </c>
      <c r="B25" s="9" t="s">
        <v>360</v>
      </c>
    </row>
    <row r="26" customFormat="false" ht="15" hidden="false" customHeight="false" outlineLevel="0" collapsed="false">
      <c r="A26" s="7" t="s">
        <v>361</v>
      </c>
      <c r="B26" s="9" t="s">
        <v>362</v>
      </c>
    </row>
    <row r="27" customFormat="false" ht="15" hidden="false" customHeight="false" outlineLevel="0" collapsed="false">
      <c r="A27" s="7" t="s">
        <v>363</v>
      </c>
      <c r="B27" s="9" t="s">
        <v>364</v>
      </c>
    </row>
    <row r="28" customFormat="false" ht="15" hidden="false" customHeight="false" outlineLevel="0" collapsed="false">
      <c r="A28" s="7" t="s">
        <v>365</v>
      </c>
      <c r="B28" s="9" t="s">
        <v>366</v>
      </c>
    </row>
    <row r="29" customFormat="false" ht="15" hidden="false" customHeight="false" outlineLevel="0" collapsed="false">
      <c r="A29" s="7" t="s">
        <v>367</v>
      </c>
      <c r="B29" s="9" t="s">
        <v>368</v>
      </c>
    </row>
    <row r="30" customFormat="false" ht="26.85" hidden="false" customHeight="false" outlineLevel="0" collapsed="false">
      <c r="A30" s="7" t="s">
        <v>369</v>
      </c>
      <c r="B30" s="9" t="s">
        <v>370</v>
      </c>
    </row>
    <row r="31" customFormat="false" ht="15" hidden="false" customHeight="false" outlineLevel="0" collapsed="false">
      <c r="A31" s="7" t="s">
        <v>371</v>
      </c>
      <c r="B31" s="9" t="s">
        <v>372</v>
      </c>
    </row>
    <row r="32" customFormat="false" ht="15" hidden="false" customHeight="false" outlineLevel="0" collapsed="false">
      <c r="A32" s="7" t="s">
        <v>373</v>
      </c>
      <c r="B32" s="9" t="s">
        <v>374</v>
      </c>
    </row>
    <row r="33" customFormat="false" ht="15" hidden="false" customHeight="false" outlineLevel="0" collapsed="false">
      <c r="A33" s="7" t="s">
        <v>375</v>
      </c>
      <c r="B33" s="9" t="s">
        <v>376</v>
      </c>
    </row>
    <row r="34" customFormat="false" ht="15" hidden="false" customHeight="false" outlineLevel="0" collapsed="false">
      <c r="A34" s="7" t="s">
        <v>377</v>
      </c>
      <c r="B34" s="9" t="s">
        <v>378</v>
      </c>
    </row>
    <row r="35" customFormat="false" ht="15" hidden="false" customHeight="false" outlineLevel="0" collapsed="false">
      <c r="A35" s="7" t="s">
        <v>379</v>
      </c>
      <c r="B35" s="9" t="s">
        <v>380</v>
      </c>
    </row>
    <row r="36" customFormat="false" ht="15" hidden="false" customHeight="false" outlineLevel="0" collapsed="false">
      <c r="A36" s="7" t="s">
        <v>381</v>
      </c>
      <c r="B36" s="9" t="s">
        <v>382</v>
      </c>
    </row>
    <row r="37" customFormat="false" ht="15" hidden="false" customHeight="false" outlineLevel="0" collapsed="false">
      <c r="A37" s="7" t="s">
        <v>383</v>
      </c>
      <c r="B37" s="9" t="s">
        <v>384</v>
      </c>
    </row>
    <row r="38" customFormat="false" ht="15" hidden="false" customHeight="false" outlineLevel="0" collapsed="false">
      <c r="A38" s="7" t="s">
        <v>385</v>
      </c>
      <c r="B38" s="9" t="s">
        <v>386</v>
      </c>
    </row>
    <row r="39" customFormat="false" ht="15" hidden="false" customHeight="false" outlineLevel="0" collapsed="false">
      <c r="A39" s="7" t="s">
        <v>387</v>
      </c>
      <c r="B39" s="9" t="s">
        <v>388</v>
      </c>
    </row>
    <row r="40" customFormat="false" ht="15" hidden="false" customHeight="false" outlineLevel="0" collapsed="false">
      <c r="A40" s="7" t="s">
        <v>389</v>
      </c>
      <c r="B40" s="9" t="s">
        <v>390</v>
      </c>
    </row>
    <row r="41" customFormat="false" ht="26.85" hidden="false" customHeight="false" outlineLevel="0" collapsed="false">
      <c r="A41" s="7" t="s">
        <v>391</v>
      </c>
      <c r="B41" s="9" t="s">
        <v>392</v>
      </c>
    </row>
    <row r="42" customFormat="false" ht="15" hidden="false" customHeight="false" outlineLevel="0" collapsed="false">
      <c r="A42" s="7" t="s">
        <v>393</v>
      </c>
      <c r="B42" s="9" t="s">
        <v>394</v>
      </c>
    </row>
    <row r="43" customFormat="false" ht="15" hidden="false" customHeight="false" outlineLevel="0" collapsed="false">
      <c r="A43" s="7" t="s">
        <v>395</v>
      </c>
      <c r="B43" s="9" t="s">
        <v>396</v>
      </c>
    </row>
    <row r="44" customFormat="false" ht="15" hidden="false" customHeight="false" outlineLevel="0" collapsed="false">
      <c r="A44" s="7" t="s">
        <v>397</v>
      </c>
      <c r="B44" s="9" t="s">
        <v>398</v>
      </c>
    </row>
    <row r="45" customFormat="false" ht="15" hidden="false" customHeight="false" outlineLevel="0" collapsed="false">
      <c r="A45" s="7" t="s">
        <v>399</v>
      </c>
      <c r="B45" s="9" t="s">
        <v>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2026-10-06T11:54:14Z</dcterms:created>
  <dc:creator>openpyxl</dc:creator>
  <dc:description/>
  <dc:language>en-US</dc:language>
  <cp:lastModifiedBy/>
  <dcterms:modified xsi:type="dcterms:W3CDTF">2026-10-06T11:54:14Z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